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" sheetId="1" state="visible" r:id="rId1"/>
    <sheet xmlns:r="http://schemas.openxmlformats.org/officeDocument/2006/relationships" name="kV보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777777"/>
    </font>
    <font>
      <b val="1"/>
      <color rgb="00FFFFFF"/>
      <sz val="12"/>
    </font>
    <font>
      <b val="1"/>
    </font>
    <font>
      <color rgb="00666666"/>
      <sz val="9"/>
    </font>
    <font>
      <sz val="10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165" fontId="0" fillId="4" borderId="1" pivotButton="0" quotePrefix="0" xfId="0"/>
    <xf numFmtId="0" fontId="7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5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6" borderId="1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3" fillId="6" borderId="1" pivotButton="0" quotePrefix="0" xfId="0"/>
    <xf numFmtId="0" fontId="3" fillId="0" borderId="1" applyAlignment="1" pivotButton="0" quotePrefix="0" xfId="0">
      <alignment vertical="top" wrapText="1"/>
    </xf>
    <xf numFmtId="2" fontId="0" fillId="6" borderId="1" pivotButton="0" quotePrefix="0" xfId="0"/>
    <xf numFmtId="164" fontId="0" fillId="6" borderId="1" pivotButton="0" quotePrefix="0" xfId="0"/>
    <xf numFmtId="0" fontId="4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165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4" fillId="5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60" customWidth="1" min="4" max="4"/>
  </cols>
  <sheetData>
    <row r="1">
      <c r="A1" s="4" t="inlineStr">
        <is>
          <t>X-ray Void 검사 파라미터 계산기</t>
        </is>
      </c>
    </row>
    <row r="2">
      <c r="A2" s="2" t="inlineStr">
        <is>
          <t>노란칸=직접 입력, 파란칸=자동계산. 입력을 바꾸면 자동으로 갱신됩니다.</t>
        </is>
      </c>
    </row>
    <row r="4">
      <c r="A4" s="22" t="inlineStr">
        <is>
          <t>■ 입력</t>
        </is>
      </c>
      <c r="B4" s="23" t="n"/>
      <c r="C4" s="23" t="n"/>
      <c r="D4" s="23" t="n"/>
    </row>
    <row r="6">
      <c r="A6" s="4" t="inlineStr">
        <is>
          <t>범프 직경 D</t>
        </is>
      </c>
      <c r="B6" s="5" t="n">
        <v>26</v>
      </c>
      <c r="C6" s="6" t="inlineStr">
        <is>
          <t>µm</t>
        </is>
      </c>
      <c r="D6" s="24" t="inlineStr">
        <is>
          <t>검사 대상 범프의 도면 직경(after reflow)</t>
        </is>
      </c>
    </row>
    <row r="7">
      <c r="A7" s="4" t="inlineStr">
        <is>
          <t>범프 높이 h</t>
        </is>
      </c>
      <c r="B7" s="5" t="n"/>
      <c r="C7" s="6" t="inlineStr">
        <is>
          <t>µm</t>
        </is>
      </c>
      <c r="D7" s="24" t="inlineStr">
        <is>
          <t>(알면 입력) kV·W는 직경보다 '높이·적층'이 좌우. 두꺼울수록 W 최적화가 필요</t>
        </is>
      </c>
    </row>
    <row r="8">
      <c r="A8" s="4" t="inlineStr">
        <is>
          <t>void 면적 임계 p</t>
        </is>
      </c>
      <c r="B8" s="5" t="n">
        <v>8</v>
      </c>
      <c r="C8" s="6" t="inlineStr">
        <is>
          <t>%</t>
        </is>
      </c>
      <c r="D8" s="24" t="inlineStr">
        <is>
          <t>합/불 기준이 되는 void 면적 비율(고객 spec)</t>
        </is>
      </c>
    </row>
    <row r="9">
      <c r="A9" s="4" t="inlineStr">
        <is>
          <t>허용 void% 상대오차 ε</t>
        </is>
      </c>
      <c r="B9" s="25" t="n">
        <v>0.1</v>
      </c>
      <c r="C9" s="6" t="n"/>
      <c r="D9" s="24" t="inlineStr">
        <is>
          <t>0.10 = ±10%. 작을수록 N이 커짐(더 정밀·더 느림)</t>
        </is>
      </c>
    </row>
    <row r="10">
      <c r="A10" s="4" t="n"/>
      <c r="B10" s="6" t="n"/>
      <c r="C10" s="6" t="n"/>
      <c r="D10" s="7" t="n"/>
    </row>
    <row r="11">
      <c r="A11" s="22" t="inlineStr">
        <is>
          <t>■ 출력 (자동계산)</t>
        </is>
      </c>
      <c r="B11" s="6" t="n"/>
      <c r="C11" s="6" t="n"/>
      <c r="D11" s="7" t="n"/>
    </row>
    <row r="12">
      <c r="A12" t="inlineStr">
        <is>
          <t>N (void당 최소 픽셀)</t>
        </is>
      </c>
      <c r="B12" s="26">
        <f>ROUND(2/B9,0)</f>
        <v/>
      </c>
      <c r="C12" t="inlineStr">
        <is>
          <t>px</t>
        </is>
      </c>
      <c r="D12" s="27" t="inlineStr">
        <is>
          <t>N≈2/ε. void 면적을 픽셀로 쪼갤 때 생기는 오차 기준. 단순 검출만이면 ~5</t>
        </is>
      </c>
    </row>
    <row r="13">
      <c r="A13" t="inlineStr">
        <is>
          <t>임계 void 지름</t>
        </is>
      </c>
      <c r="B13" s="28">
        <f>ROUND(B6*SQRT(B8/100),1)</f>
        <v/>
      </c>
      <c r="C13" t="inlineStr">
        <is>
          <t>µm</t>
        </is>
      </c>
      <c r="D13" s="27" t="inlineStr">
        <is>
          <t>d_void = D·√p. 이 크기를 N픽셀로 담는 것이 R의 기준</t>
        </is>
      </c>
    </row>
    <row r="14">
      <c r="A14" s="23" t="inlineStr">
        <is>
          <t>R_max (권장 최대 해상도)</t>
        </is>
      </c>
      <c r="B14" s="29">
        <f>ROUND(B6*SQRT(B8/100)/B12,2)</f>
        <v/>
      </c>
      <c r="C14" s="23" t="inlineStr">
        <is>
          <t>µm/px</t>
        </is>
      </c>
      <c r="D14" s="30" t="inlineStr">
        <is>
          <t>R = D·√p / N. 이 값 이하로 설정(작을수록 정밀하지만 시간 ∝ 1/R²)</t>
        </is>
      </c>
    </row>
    <row r="15">
      <c r="A15" s="4" t="inlineStr">
        <is>
          <t>kV 시작값</t>
        </is>
      </c>
      <c r="B15" s="26">
        <f>IF(B6&lt;=53,57.5,IF(B6&gt;=119,60.5,60))</f>
        <v/>
      </c>
      <c r="C15" s="6" t="inlineStr">
        <is>
          <t>kV</t>
        </is>
      </c>
      <c r="D15" s="24" t="inlineStr">
        <is>
          <t>크기 영향은 매우 약함(7배 커져도 ~3kV 이동). 시작값일 뿐 — 아래 트림으로 확정</t>
        </is>
      </c>
    </row>
    <row r="16">
      <c r="A16" s="4" t="inlineStr">
        <is>
          <t>Power W 시작값</t>
        </is>
      </c>
      <c r="B16" s="31" t="n">
        <v>4</v>
      </c>
      <c r="C16" s="6" t="inlineStr">
        <is>
          <t>W</t>
        </is>
      </c>
      <c r="D16" s="24" t="inlineStr">
        <is>
          <t>얇은 범프는 4W로 충분. 범프가 두꺼우면(높이 큼) PhaseW 실험으로 최적 W를 확정 — 고정값 아님</t>
        </is>
      </c>
    </row>
    <row r="17">
      <c r="A17" s="4" t="inlineStr">
        <is>
          <t>Frame Average</t>
        </is>
      </c>
      <c r="B17" s="32" t="inlineStr">
        <is>
          <t>품질 하한 최소값</t>
        </is>
      </c>
      <c r="C17" s="6" t="n"/>
      <c r="D17" s="24" t="inlineStr">
        <is>
          <t>반복(재현성)이 허용되는 최소 F. 어두우면 ↑ (64→32 = 시간 절반)</t>
        </is>
      </c>
    </row>
    <row r="18">
      <c r="A18" s="4" t="n"/>
      <c r="B18" s="6" t="n"/>
      <c r="C18" s="6" t="n"/>
      <c r="D18" s="7" t="n"/>
    </row>
    <row r="19">
      <c r="A19" s="22" t="inlineStr">
        <is>
          <t>■ kV 확정 규칙 (가장 중요)</t>
        </is>
      </c>
      <c r="B19" s="6" t="n"/>
      <c r="C19" s="6" t="n"/>
      <c r="D19" s="7" t="n"/>
    </row>
    <row r="20">
      <c r="A20" s="27" t="inlineStr">
        <is>
          <t>위 kV 시작값에서 1회 검사 → 측정직경/도면이 97~103% 될 때까지 1kV씩 미세조정(트림). 작게 측정되면 kV를 내리고, 크게 측정되면 kV를 올린다. 검사 가능 창은 ±2.5kV로 좁아 벗어나면 매칭 자체가 실패한다.</t>
        </is>
      </c>
    </row>
    <row r="21"/>
    <row r="22"/>
    <row r="23">
      <c r="A23" s="23" t="n"/>
      <c r="B23" s="23" t="n"/>
      <c r="C23" s="23" t="n"/>
      <c r="D23" s="23" t="n"/>
    </row>
    <row r="24">
      <c r="A24" s="33" t="inlineStr">
        <is>
          <t>■ Power(W) 규칙</t>
        </is>
      </c>
    </row>
    <row r="25">
      <c r="A25" s="27" t="inlineStr">
        <is>
          <t>W는 광자가 부족한 '두꺼운 범프 내부'의 노이즈를 줄이는 변수. 얇은 범프(26µm)는 둔감→4W. 두꺼운 범프(158µm)는 PhaseW로 최적 W를 찾는다(고정 아님). 직경 문제는 W가 아니라 kV로 고친다.</t>
        </is>
      </c>
    </row>
    <row r="27">
      <c r="A27" s="39" t="inlineStr">
        <is>
          <t>■ 한 번에 검사되는 범프 수 / shot 수</t>
        </is>
      </c>
    </row>
    <row r="28">
      <c r="A28" t="inlineStr">
        <is>
          <t>사용할 R</t>
        </is>
      </c>
      <c r="B28" s="28">
        <f>B14</f>
        <v/>
      </c>
      <c r="C28" t="inlineStr">
        <is>
          <t>µm/px</t>
        </is>
      </c>
      <c r="D28" s="27" t="inlineStr">
        <is>
          <t>보통 R_max 사용(품질 한도 내 가장 거칠어 가장 빠름)</t>
        </is>
      </c>
    </row>
    <row r="29">
      <c r="A29" t="inlineStr">
        <is>
          <t>검사할 범프 수(목표)</t>
        </is>
      </c>
      <c r="B29" s="25" t="n">
        <v>300</v>
      </c>
      <c r="C29" t="inlineStr">
        <is>
          <t>개</t>
        </is>
      </c>
      <c r="D29" s="27" t="inlineStr">
        <is>
          <t>이번 검사에서 커버할 범프 수</t>
        </is>
      </c>
    </row>
    <row r="30">
      <c r="A30" s="41" t="inlineStr">
        <is>
          <t>[기준] R0.2 shot당 범프 수</t>
        </is>
      </c>
      <c r="B30" s="25" t="n">
        <v>50</v>
      </c>
      <c r="C30" s="42" t="inlineStr">
        <is>
          <t>개(미확정)</t>
        </is>
      </c>
      <c r="D30" s="27" t="inlineStr">
        <is>
          <t>※ 아직 장비 실측값이 아닌 예시 추정치입니다. 실제 R0.2 화면에서 shot당 범프 수를 세어 이 칸에 넣으면 아래 계산이 전부 정확해집니다. (pitch 보정항은 제외 — 검사 성공률에 대한 영향이 작다고 판단되어 뺌)</t>
        </is>
      </c>
    </row>
    <row r="31">
      <c r="A31" t="inlineStr">
        <is>
          <t>shot당 범프 수 @사용R</t>
        </is>
      </c>
      <c r="B31" s="28">
        <f>ROUND(B30*(B28/0.2)^2,0)</f>
        <v/>
      </c>
      <c r="C31" t="inlineStr">
        <is>
          <t>개</t>
        </is>
      </c>
      <c r="D31" s="27" t="inlineStr">
        <is>
          <t>FOV 면적 ∝ R² 만 반영(픽셀수 고정 가정). pitch차이는 미반영</t>
        </is>
      </c>
    </row>
    <row r="32">
      <c r="A32" t="inlineStr">
        <is>
          <t>필요한 shot 수</t>
        </is>
      </c>
      <c r="B32" s="28">
        <f>ROUNDUP(B29/B31,0)</f>
        <v/>
      </c>
      <c r="C32" t="inlineStr">
        <is>
          <t>회</t>
        </is>
      </c>
      <c r="D32" s="27" t="inlineStr">
        <is>
          <t>목표 범프를 이만큼 나눠 촬영(타일). 검사시간 ∝ shot 수</t>
        </is>
      </c>
    </row>
    <row r="33">
      <c r="A33" t="inlineStr">
        <is>
          <t>최소 권장 범프 수</t>
        </is>
      </c>
      <c r="B33" s="28" t="n">
        <v>50</v>
      </c>
      <c r="C33" t="inlineStr">
        <is>
          <t>개</t>
        </is>
      </c>
      <c r="D33" s="27" t="inlineStr">
        <is>
          <t>void% 통계·매칭률의 최소 표본. 실험은 같은 범프를 R별로 추적해 짝지어 비교</t>
        </is>
      </c>
    </row>
    <row r="34">
      <c r="D34" s="27" t="n"/>
    </row>
    <row r="35">
      <c r="A35" s="40" t="inlineStr">
        <is>
          <t>■ shot 여러 번 vs 1번 — 일관성 주의</t>
        </is>
      </c>
    </row>
    <row r="36">
      <c r="A36" s="43" t="inlineStr">
        <is>
          <t>R을 작게 하면 FOV가 좁아져 같은 범프를 여러 shot으로 나눠 찍어야 한다. 6 shot@R0.2 와 1 shot@R1 을 그대로 비교하면 ①범프가 타일 경계에서 잘림 ②콘빔 특성상 FOV 가장자리 범프는 비스듬히 찍혀 다르게 측정 ③스티칭 오차 로 일관성이 깨질 수 있다. → 해결: '가장 작은 R(0.2)에서도 1 shot에 들어오는 중앙 ~50개 범프'만 추적하면 모든 R이 1 shot=동일 범프가 되어 교란이 사라진다. 타일이 불가피하면 타일을 범프 격자에 맞추고 1 pitch 이상 겹치며, '같은 R에서 1 shot vs 타일'을 1회 대조 실험으로 검증할 것.</t>
        </is>
      </c>
    </row>
    <row r="37"/>
    <row r="38"/>
    <row r="39"/>
    <row r="40"/>
    <row r="41"/>
  </sheetData>
  <mergeCells count="3">
    <mergeCell ref="A36:E40"/>
    <mergeCell ref="A20:E22"/>
    <mergeCell ref="A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22" customWidth="1" min="4" max="4"/>
    <col width="16" customWidth="1" min="5" max="5"/>
  </cols>
  <sheetData>
    <row r="1">
      <c r="A1" s="4" t="inlineStr">
        <is>
          <t>kV 정하는 법 — 크기 의존은 약하고, 마지막은 트림으로 맞춘다</t>
        </is>
      </c>
    </row>
    <row r="2">
      <c r="A2" s="34" t="inlineStr">
        <is>
          <t>핵심: 범프 크기가 7배 달라져도 최적 kV는 약 3kV만 이동한다(거의 평평). 예전의 'kV = a·직경^(1/3)' 멱법칙은 실측과 배치되어 폐기함.</t>
        </is>
      </c>
      <c r="B2" s="20" t="n"/>
      <c r="C2" s="20" t="n"/>
      <c r="D2" s="20" t="n"/>
      <c r="E2" s="21" t="n"/>
    </row>
    <row r="4">
      <c r="A4" s="22" t="inlineStr">
        <is>
          <t>실측 기준점 (같은 재질/유사 적층)</t>
        </is>
      </c>
      <c r="B4" s="23" t="n"/>
      <c r="D4" s="23" t="n"/>
      <c r="E4" s="6" t="n"/>
    </row>
    <row r="5">
      <c r="A5" s="4" t="inlineStr">
        <is>
          <t>범프 크기</t>
        </is>
      </c>
      <c r="B5" s="4" t="inlineStr">
        <is>
          <t>측정 결과</t>
        </is>
      </c>
      <c r="C5" s="35" t="inlineStr">
        <is>
          <t>최적 kV(추정)</t>
        </is>
      </c>
      <c r="D5" s="4" t="n"/>
      <c r="E5" s="36" t="n"/>
    </row>
    <row r="6">
      <c r="A6" s="6" t="inlineStr">
        <is>
          <t>26µm(TB500M)</t>
        </is>
      </c>
      <c r="B6" s="6" t="inlineStr">
        <is>
          <t>60kV에서 Q=92% → 더 내려야</t>
        </is>
      </c>
      <c r="C6" t="inlineStr">
        <is>
          <t>≈ 57~58</t>
        </is>
      </c>
      <c r="D6" s="4" t="n"/>
      <c r="E6" s="37" t="n"/>
    </row>
    <row r="7">
      <c r="A7" s="6" t="inlineStr">
        <is>
          <t>80µm(NXP)</t>
        </is>
      </c>
      <c r="B7" s="6" t="inlineStr">
        <is>
          <t>60kV에서 Q=100%</t>
        </is>
      </c>
      <c r="C7" t="inlineStr">
        <is>
          <t>60.0</t>
        </is>
      </c>
      <c r="D7" s="19" t="n"/>
    </row>
    <row r="8">
      <c r="A8" s="6" t="inlineStr">
        <is>
          <t>182µm급</t>
        </is>
      </c>
      <c r="B8" s="6" t="inlineStr">
        <is>
          <t>60kV에서 Q=102% → 살짝 올려</t>
        </is>
      </c>
      <c r="C8" t="inlineStr">
        <is>
          <t>≈ 60.5~61</t>
        </is>
      </c>
    </row>
    <row r="9">
      <c r="A9" s="6" t="n"/>
      <c r="B9" s="6" t="n"/>
      <c r="D9" s="4" t="n"/>
      <c r="E9" s="38" t="n"/>
    </row>
    <row r="10">
      <c r="A10" s="22" t="inlineStr">
        <is>
          <t>확정 절차</t>
        </is>
      </c>
      <c r="B10" s="6" t="n"/>
    </row>
    <row r="11">
      <c r="A11" s="27" t="inlineStr">
        <is>
          <t>① 크기대별 시작 kV로 1회 검사 → ② 측정직경/도면이 97~103% 될 때까지 1kV씩 조정(작으면 kV↓, 크면 kV↑) → ③ 검사 창은 ±2.5kV로 좁음(벗어나면 매칭 실패). 재질이 바뀌면 시작값만 참고.</t>
        </is>
      </c>
    </row>
    <row r="12"/>
  </sheetData>
  <mergeCells count="2">
    <mergeCell ref="A2:E2"/>
    <mergeCell ref="A11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2026-07-01T23:27:11Z</dcterms:created>
  <dcterms:modified xmlns:dcterms="http://purl.org/dc/terms/" xmlns:xsi="http://www.w3.org/2001/XMLSchema-instance" xsi:type="dcterms:W3CDTF">2026-07-05T07:49:01Z</dcterms:modified>
</cp:coreProperties>
</file>