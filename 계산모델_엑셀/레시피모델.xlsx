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레시피계산" sheetId="1" state="visible" r:id="rId1"/>
    <sheet xmlns:r="http://schemas.openxmlformats.org/officeDocument/2006/relationships" name="보정계수" sheetId="2" state="visible" r:id="rId2"/>
    <sheet xmlns:r="http://schemas.openxmlformats.org/officeDocument/2006/relationships" name="파라미터설명" sheetId="3" state="visible" r:id="rId3"/>
    <sheet xmlns:r="http://schemas.openxmlformats.org/officeDocument/2006/relationships" name="SOP_글버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777777"/>
      <sz val="9"/>
    </font>
    <font>
      <b val="1"/>
      <color rgb="00FFFFFF"/>
    </font>
    <font>
      <b val="1"/>
    </font>
    <font>
      <b val="1"/>
      <color rgb="00C00000"/>
    </font>
    <font>
      <b val="1"/>
      <color rgb="00007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3" borderId="1" pivotButton="0" quotePrefix="0" xfId="0"/>
    <xf numFmtId="2" fontId="0" fillId="4" borderId="1" pivotButton="0" quotePrefix="0" xfId="0"/>
    <xf numFmtId="164" fontId="0" fillId="5" borderId="1" pivotButton="0" quotePrefix="0" xfId="0"/>
    <xf numFmtId="0" fontId="0" fillId="4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9" customWidth="1" min="3" max="3"/>
    <col width="60" customWidth="1" min="4" max="4"/>
  </cols>
  <sheetData>
    <row r="1">
      <c r="A1" s="1" t="inlineStr">
        <is>
          <t>레시피 모델 — 자재 정보 입력 → 파라미터 산출</t>
        </is>
      </c>
    </row>
    <row r="2">
      <c r="A2" s="2" t="inlineStr">
        <is>
          <t>노란칸만 입력하세요. 파란칸은 자동. 빨간 배경 = 실험 미완으로 잠정값('보정계수' 시트 상태 참조).</t>
        </is>
      </c>
    </row>
    <row r="4">
      <c r="A4" s="3" t="inlineStr">
        <is>
          <t>■ 자재 정보 입력</t>
        </is>
      </c>
      <c r="B4" s="3" t="n"/>
      <c r="C4" s="3" t="n"/>
      <c r="D4" s="3" t="n"/>
    </row>
    <row r="5">
      <c r="A5" s="4" t="inlineStr">
        <is>
          <t>bump 직경 D (µm)</t>
        </is>
      </c>
      <c r="B5" s="5" t="n">
        <v>26</v>
      </c>
      <c r="D5" s="2" t="inlineStr">
        <is>
          <t>도면의 bump diameter after reflow</t>
        </is>
      </c>
    </row>
    <row r="6">
      <c r="A6" s="4" t="inlineStr">
        <is>
          <t>die 폭 (mm)</t>
        </is>
      </c>
      <c r="B6" s="5" t="n">
        <v>12.7</v>
      </c>
      <c r="D6" s="2" t="inlineStr">
        <is>
          <t>도면/CAD의 die width</t>
        </is>
      </c>
    </row>
    <row r="7">
      <c r="A7" s="4" t="inlineStr">
        <is>
          <t>die 높이 (mm)</t>
        </is>
      </c>
      <c r="B7" s="5" t="n">
        <v>15.6</v>
      </c>
      <c r="D7" s="2" t="inlineStr">
        <is>
          <t>die height</t>
        </is>
      </c>
    </row>
    <row r="8">
      <c r="A8" s="4" t="inlineStr">
        <is>
          <t>void 판정 임계 p (%)</t>
        </is>
      </c>
      <c r="B8" s="5" t="n">
        <v>8</v>
      </c>
      <c r="D8" s="2" t="inlineStr">
        <is>
          <t>합불 기준 void 면적% (고객 spec)</t>
        </is>
      </c>
    </row>
    <row r="9">
      <c r="A9" t="inlineStr">
        <is>
          <t>bump 높이 h (µm)</t>
        </is>
      </c>
      <c r="B9" s="15" t="n"/>
      <c r="D9" s="16" t="inlineStr">
        <is>
          <t>도면값(선택). kV·W는 직경보다 높이·적층이 좌우 — 두꺼우면 W 최적화 필요</t>
        </is>
      </c>
    </row>
    <row r="10">
      <c r="A10" s="3" t="inlineStr">
        <is>
          <t>■ 검사(Inspection) 파라미터 — 자동 산출</t>
        </is>
      </c>
      <c r="B10" s="3" t="n"/>
      <c r="C10" s="3" t="n"/>
      <c r="D10" s="3" t="n"/>
    </row>
    <row r="11">
      <c r="A11" s="4" t="inlineStr">
        <is>
          <t>Resolution R (µm/px)</t>
        </is>
      </c>
      <c r="B11" s="6">
        <f>ROUND(B5*SQRT(B8/100)/보정계수!B5,2)</f>
        <v/>
      </c>
      <c r="D11" s="2" t="inlineStr">
        <is>
          <t>R = D·√p / N_target. void 하나를 N픽셀 이상으로 담는 가장 거친(빠른) 해상도</t>
        </is>
      </c>
    </row>
    <row r="12">
      <c r="A12" s="4" t="inlineStr">
        <is>
          <t>Voltage kV (시작값)</t>
        </is>
      </c>
      <c r="B12" s="7">
        <f>IF(B5&lt;=53,보정계수!B9,IF(B5&gt;=119,보정계수!B11,보정계수!B10))</f>
        <v/>
      </c>
      <c r="D12" s="17" t="inlineStr">
        <is>
          <t>자재 크기대별 기준 kV(보정계수 시트). 크기 영향은 약함(7배 커져도 ~3kV). ★시작값일 뿐 — 아래 트림으로 확정</t>
        </is>
      </c>
    </row>
    <row r="13">
      <c r="A13" s="4" t="inlineStr">
        <is>
          <t>kV 확정 절차</t>
        </is>
      </c>
      <c r="B13" s="8" t="inlineStr">
        <is>
          <t>트림 필수</t>
        </is>
      </c>
      <c r="D13" s="2" t="inlineStr">
        <is>
          <t>1회 검사 → 측정직경/D가 97~103% 될 때까지 1kV씩 조정 (작게 나오면 kV↓, 크게 나오면 kV↑)</t>
        </is>
      </c>
    </row>
    <row r="14">
      <c r="A14" s="4" t="inlineStr">
        <is>
          <t>Frame Average</t>
        </is>
      </c>
      <c r="B14" s="9">
        <f>보정계수!B7</f>
        <v/>
      </c>
      <c r="D14" s="2" t="inlineStr">
        <is>
          <t>품질(재현성) 하한 최소값 — F 실험(O4) 후 확정</t>
        </is>
      </c>
    </row>
    <row r="15">
      <c r="A15" s="4" t="inlineStr">
        <is>
          <t>Power (W)</t>
        </is>
      </c>
      <c r="B15" s="8">
        <f>IF(OR(B9="",B9&lt;=60),보정계수!B15,보정계수!B16)</f>
        <v/>
      </c>
      <c r="D15" s="17" t="inlineStr">
        <is>
          <t>얇은 범프는 4W. 두꺼운 범프(높이 큼)는 PhaseW로 최적화된 값(보정계수 시트) — 더 이상 고정 아님</t>
        </is>
      </c>
    </row>
    <row r="17">
      <c r="A17" s="3" t="inlineStr">
        <is>
          <t>■ 취득(Image Acquisition) 파라미터 — 절약 세트</t>
        </is>
      </c>
      <c r="B17" s="3" t="n"/>
      <c r="C17" s="3" t="n"/>
      <c r="D17" s="3" t="n"/>
    </row>
    <row r="18">
      <c r="A18" s="4" t="inlineStr">
        <is>
          <t>kV</t>
        </is>
      </c>
      <c r="B18" s="8">
        <f>B12</f>
        <v/>
      </c>
      <c r="D18" s="2" t="inlineStr">
        <is>
          <t>검사와 동일 (창 밖이면 CAD 구축 실패 — 유일하게 아끼면 안 됨)</t>
        </is>
      </c>
    </row>
    <row r="19">
      <c r="A19" s="4" t="inlineStr">
        <is>
          <t>Resolution R_acq</t>
        </is>
      </c>
      <c r="B19" s="10">
        <f>ROUND(B5/보정계수!B6,2)</f>
        <v/>
      </c>
      <c r="D19" s="2" t="inlineStr">
        <is>
          <t>R_acq = D / N_detect(범프 검출 최소픽셀). B4 런으로 하한 확정 예정</t>
        </is>
      </c>
    </row>
    <row r="20">
      <c r="A20" s="4" t="inlineStr">
        <is>
          <t>Frame</t>
        </is>
      </c>
      <c r="B20" s="8" t="n">
        <v>32</v>
      </c>
      <c r="D20" s="2" t="inlineStr">
        <is>
          <t>검증됨 (취득시간 절반). 추후 16 시도</t>
        </is>
      </c>
    </row>
    <row r="21">
      <c r="A21" s="4" t="inlineStr">
        <is>
          <t>Bump/Die/Pitch 입력값</t>
        </is>
      </c>
      <c r="B21" s="8" t="inlineStr">
        <is>
          <t>도면값</t>
        </is>
      </c>
      <c r="D21" s="2" t="inlineStr">
        <is>
          <t>WS Recipe 화면의 형상 입력칸 — 도면 그대로</t>
        </is>
      </c>
    </row>
    <row r="23">
      <c r="A23" s="3" t="inlineStr">
        <is>
          <t>■ 예상 검사시간</t>
        </is>
      </c>
      <c r="B23" s="3" t="n"/>
      <c r="C23" s="3" t="n"/>
      <c r="D23" s="3" t="n"/>
    </row>
    <row r="24">
      <c r="A24" s="4" t="inlineStr">
        <is>
          <t>tact (초/die, 추정)</t>
        </is>
      </c>
      <c r="B24" s="9">
        <f>ROUND(보정계수!B13*(B6*B7)/(B11^2)*B14+보정계수!B14,0)</f>
        <v/>
      </c>
      <c r="D24" s="2" t="inlineStr">
        <is>
          <t>tact = a·(die면적/R²)·F + b — 계수 a,b는 실험 타임스탬프 회귀로 확정</t>
        </is>
      </c>
    </row>
    <row r="26">
      <c r="A26" s="4" t="inlineStr">
        <is>
          <t>합격 판정 기준</t>
        </is>
      </c>
      <c r="D26" s="2" t="inlineStr">
        <is>
          <t>① 전 die 매칭(Composite) ② 측정직경/D = 97~103% ③ void% 재현. 하나라도 어긋나면 kV 트림 재실행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66" customWidth="1" min="4" max="4"/>
  </cols>
  <sheetData>
    <row r="1">
      <c r="A1" s="1" t="inlineStr">
        <is>
          <t>보정계수 — 실험(DOE_MASTER_PLAN)으로 확정되는 값들</t>
        </is>
      </c>
    </row>
    <row r="2">
      <c r="A2" s="17" t="inlineStr">
        <is>
          <t>상태: 검증됨 / 잠정 — 잠정값은 실험 후 갱신하면 레시피계산이 자동 반영됨. (W는 두꺼운 범프에서 최적화 대상 = 고정 아님)</t>
        </is>
      </c>
    </row>
    <row r="4">
      <c r="A4" s="3" t="inlineStr">
        <is>
          <t>계수</t>
        </is>
      </c>
      <c r="B4" s="3" t="inlineStr">
        <is>
          <t>현재값</t>
        </is>
      </c>
      <c r="C4" s="3" t="inlineStr">
        <is>
          <t>상태</t>
        </is>
      </c>
      <c r="D4" s="3" t="inlineStr">
        <is>
          <t>설명 / 확정 실험</t>
        </is>
      </c>
    </row>
    <row r="5">
      <c r="A5" s="4" t="inlineStr">
        <is>
          <t>N_target (void 최소픽셀)</t>
        </is>
      </c>
      <c r="B5" s="5" t="n">
        <v>20</v>
      </c>
      <c r="C5" s="11" t="inlineStr">
        <is>
          <t>잠정</t>
        </is>
      </c>
      <c r="D5" s="2" t="inlineStr">
        <is>
          <t>이론 2/ε(ε=10%). Phase B(R스윕)에서 void% 안정화 지점으로 실측 확정</t>
        </is>
      </c>
    </row>
    <row r="6">
      <c r="A6" s="4" t="inlineStr">
        <is>
          <t>N_detect (범프 검출픽셀)</t>
        </is>
      </c>
      <c r="B6" s="5" t="n">
        <v>26</v>
      </c>
      <c r="C6" s="11" t="inlineStr">
        <is>
          <t>잠정</t>
        </is>
      </c>
      <c r="D6" s="2" t="inlineStr">
        <is>
          <t>검증된 안전점=26px(R1.0). B3·B4(16px/13px)로 하한 확정 후 갱신</t>
        </is>
      </c>
    </row>
    <row r="7">
      <c r="A7" s="4" t="inlineStr">
        <is>
          <t>F_min (최소 Frame)</t>
        </is>
      </c>
      <c r="B7" s="5" t="n">
        <v>32</v>
      </c>
      <c r="C7" s="11" t="inlineStr">
        <is>
          <t>잠정</t>
        </is>
      </c>
      <c r="D7" s="2" t="inlineStr">
        <is>
          <t>F1·F2(16/64)와 B2(32)의 void%σ 비교로 확정</t>
        </is>
      </c>
    </row>
    <row r="8">
      <c r="A8" s="12" t="inlineStr"/>
    </row>
    <row r="9">
      <c r="A9" s="4" t="inlineStr">
        <is>
          <t>kV 기준값: 얇은/작은 범프(≤53µm)</t>
        </is>
      </c>
      <c r="B9" s="5" t="n">
        <v>57.5</v>
      </c>
      <c r="C9" s="11" t="inlineStr">
        <is>
          <t>잠정</t>
        </is>
      </c>
      <c r="D9" s="2" t="inlineStr">
        <is>
          <t>26µm 외삽 최적점 — A1(57.5kV)으로 검증 예정</t>
        </is>
      </c>
    </row>
    <row r="10">
      <c r="A10" s="4" t="inlineStr">
        <is>
          <t>kV 기준값: 중간(53~119µm)</t>
        </is>
      </c>
      <c r="B10" s="5" t="n">
        <v>60</v>
      </c>
      <c r="C10" s="13" t="inlineStr">
        <is>
          <t>검증됨</t>
        </is>
      </c>
      <c r="D10" s="2" t="inlineStr">
        <is>
          <t>80µm 양산 66건 Q=100.4%</t>
        </is>
      </c>
    </row>
    <row r="11">
      <c r="A11" s="4" t="inlineStr">
        <is>
          <t>kV 기준값: 두꺼운/큰 범프(≥119µm)</t>
        </is>
      </c>
      <c r="B11" s="5" t="n">
        <v>60.5</v>
      </c>
      <c r="C11" s="11" t="inlineStr">
        <is>
          <t>잠정</t>
        </is>
      </c>
      <c r="D11" s="17" t="inlineStr">
        <is>
          <t>182µm 유사체 Q=101.7 역산. 158µm 자재로 확정 예정(PhaseA 60·63kV 2점)</t>
        </is>
      </c>
    </row>
    <row r="12">
      <c r="A12" s="12" t="inlineStr"/>
    </row>
    <row r="13">
      <c r="A13" s="4" t="inlineStr">
        <is>
          <t>tact 계수 a</t>
        </is>
      </c>
      <c r="B13" s="5" t="n">
        <v>0.05</v>
      </c>
      <c r="C13" s="11" t="inlineStr">
        <is>
          <t>잠정</t>
        </is>
      </c>
      <c r="D13" s="2" t="inlineStr">
        <is>
          <t>tact=a·(die면적mm²/R²)·F+b — 전 런 타임스탬프 회귀로 확정</t>
        </is>
      </c>
    </row>
    <row r="14">
      <c r="A14" s="4" t="inlineStr">
        <is>
          <t>tact 계수 b (오버헤드 초)</t>
        </is>
      </c>
      <c r="B14" s="5" t="n">
        <v>20</v>
      </c>
      <c r="C14" s="11" t="inlineStr">
        <is>
          <t>잠정</t>
        </is>
      </c>
      <c r="D14" s="2" t="inlineStr">
        <is>
          <t>〃</t>
        </is>
      </c>
    </row>
    <row r="15">
      <c r="A15" t="inlineStr">
        <is>
          <t>W: 얇은 범프(높이 ≤~60µm)</t>
        </is>
      </c>
      <c r="B15" t="n">
        <v>4</v>
      </c>
      <c r="C15" t="inlineStr">
        <is>
          <t>검증됨</t>
        </is>
      </c>
      <c r="D15" s="16" t="inlineStr">
        <is>
          <t>3.5~4.5W에서 내부 std 동일 → 둔감. 4W 유지</t>
        </is>
      </c>
    </row>
    <row r="16">
      <c r="A16" t="inlineStr">
        <is>
          <t>W: 두꺼운 범프(158µm급)</t>
        </is>
      </c>
      <c r="B16" s="15" t="n">
        <v>5</v>
      </c>
      <c r="C16" t="inlineStr">
        <is>
          <t>잠정</t>
        </is>
      </c>
      <c r="D16" s="16" t="inlineStr">
        <is>
          <t>PhaseW에서 깜빡임 void=0 &amp; void%σ 최소가 되는 W로 확정(잠정 5W). 고정값 아님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파라미터 설명 (처음 사용자용)</t>
        </is>
      </c>
    </row>
    <row r="3" ht="42" customHeight="1">
      <c r="A3" s="4" t="inlineStr">
        <is>
          <t>Voltage (kV)</t>
        </is>
      </c>
      <c r="B3" s="14" t="inlineStr">
        <is>
          <t>X-ray 투과력. 검사 가능한 범위(창)가 ±2.5kV로 매우 좁고, 창 안에서는 '측정직경 다이얼'로 동작(1kV 올리면 직경 약 3%p 작게 측정). 그래서 측정직경=도면값이 되도록 1kV씩 맞추는 게 확정 절차.</t>
        </is>
      </c>
    </row>
    <row r="4" ht="42" customHeight="1">
      <c r="A4" s="4" t="inlineStr">
        <is>
          <t>Power (W)</t>
        </is>
      </c>
      <c r="B4" s="14" t="inlineStr">
        <is>
          <t>X-ray 광량(선속). 광자가 부족한 '두꺼운 범프 내부'의 노이즈를 줄이는 변수. 얇은 범프(26µm)는 내부도 밝아 W에 둔감→4W. 두꺼운 범프(158µm)는 최적 W를 실험(PhaseW)으로 찾음(고정 아님). 직경/대비 문제는 W가 아니라 kV로 조절. W를 올리면 같은 품질을 더 적은 Frame(=시간↓)으로 얻는 교환도 가능.</t>
        </is>
      </c>
    </row>
    <row r="5" ht="42" customHeight="1">
      <c r="A5" s="4" t="inlineStr">
        <is>
          <t>Resolution R (µm/px)</t>
        </is>
      </c>
      <c r="B5" s="14" t="inlineStr">
        <is>
          <t>픽셀 하나의 실제 크기 = 촬영구역 크기를 결정. 숫자가 작을수록 정밀하지만 시간이 1/R²로 급증. '임계 void를 N픽셀로 담는 가장 거친 값'이 최적 → R = D·√p/N.</t>
        </is>
      </c>
    </row>
    <row r="6" ht="42" customHeight="1">
      <c r="A6" s="4" t="inlineStr">
        <is>
          <t>Frame Average</t>
        </is>
      </c>
      <c r="B6" s="14" t="inlineStr">
        <is>
          <t>같은 장면을 여러 장 찍어 평균 → 노이즈 감소(∝1/√F), 시간 정비례. 취득은 32, 검사는 F_min.</t>
        </is>
      </c>
    </row>
    <row r="7" ht="42" customHeight="1">
      <c r="A7" s="4" t="inlineStr">
        <is>
          <t>N (void당 픽셀)</t>
        </is>
      </c>
      <c r="B7" s="14" t="inlineStr">
        <is>
          <t>품질 규격. void 면적 오차 ≈ 2/N. 자재가 바뀌어도 동일하게 적용되는 무차원 기준.</t>
        </is>
      </c>
    </row>
    <row r="8" ht="42" customHeight="1">
      <c r="A8" s="4" t="inlineStr">
        <is>
          <t>취득 vs 검사</t>
        </is>
      </c>
      <c r="B8" s="14" t="inlineStr">
        <is>
          <t>취득(Image Acquisition)=CAD 만들기용 웨이퍼 스캔(셋업 시 1회, 대충 보여도 됨). 검사(Inspection)=선택 die만 재촬영해 void 정량(양산 반복, 품질 핵심). 파라미터는 서로 독립 — 단 kV는 공유.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SOP (글 버전) — 장비 화면 사진은 SOP PPT 참조</t>
        </is>
      </c>
    </row>
    <row r="3">
      <c r="A3" s="4" t="inlineStr">
        <is>
          <t>0</t>
        </is>
      </c>
      <c r="B3" s="14" t="inlineStr">
        <is>
          <t>레시피계산 시트에 자재 정보(도면의 bump 직경, die 크기, void 기준%) 입력 → 파라미터 확인</t>
        </is>
      </c>
    </row>
    <row r="4">
      <c r="A4" s="4" t="inlineStr">
        <is>
          <t>1</t>
        </is>
      </c>
      <c r="B4" s="14" t="inlineStr">
        <is>
          <t>장비 초기화: Home 화면 GEM Status·Component(INS/WFC/FI/IO/WH) 전부 Running 확인</t>
        </is>
      </c>
    </row>
    <row r="5">
      <c r="A5" s="4" t="inlineStr">
        <is>
          <t>2</t>
        </is>
      </c>
      <c r="B5" s="14" t="inlineStr">
        <is>
          <t>[신규 자재만] WS Recipes 화면: 도면값(Bump Diameter/Pitch, Die Size)과 취득 파라미터(kV·R_acq·Frame32·W) 입력 → Create WS Recipe</t>
        </is>
      </c>
    </row>
    <row r="6">
      <c r="A6" s="4" t="inlineStr">
        <is>
          <t>3</t>
        </is>
      </c>
      <c r="B6" s="14" t="inlineStr">
        <is>
          <t>[신규 자재만] Jobs &gt; Manual Process &gt; Image Acquisition: WS Recipe·Slot 선택 → Start → 완료 대기(lamp 꺼짐)</t>
        </is>
      </c>
    </row>
    <row r="7">
      <c r="A7" s="4" t="inlineStr">
        <is>
          <t>4</t>
        </is>
      </c>
      <c r="B7" s="14" t="inlineStr">
        <is>
          <t>[신규 자재만] Load에서 Recipe_Base 선택 → Wafer CAD(격자 생성·검사 die 선택) → Die CAD(AOI 지정)</t>
        </is>
      </c>
    </row>
    <row r="8">
      <c r="A8" s="4" t="inlineStr">
        <is>
          <t>5</t>
        </is>
      </c>
      <c r="B8" s="14" t="inlineStr">
        <is>
          <t>Die CAD &gt; Analysis Settings: 검사 파라미터(kV·R·Frame·W) 입력, Void Thresholds에 p% 설정 → Save (두꺼운 범프는 W를 PhaseW 최적값으로)</t>
        </is>
      </c>
    </row>
    <row r="9">
      <c r="A9" s="4" t="inlineStr">
        <is>
          <t>6</t>
        </is>
      </c>
      <c r="B9" s="14" t="inlineStr">
        <is>
          <t>Jobs &gt; Inspection: 저장한 Recipe·Slot 선택 → Start</t>
        </is>
      </c>
    </row>
    <row r="10">
      <c r="A10" s="4" t="inlineStr">
        <is>
          <t>7</t>
        </is>
      </c>
      <c r="B10" s="14" t="inlineStr">
        <is>
          <t>Results 확인 + 합격판정: 전 die Composite? 측정직경/도면 = 97~103%? → 어긋나면 kV 1단계 트림 후 재검사</t>
        </is>
      </c>
    </row>
    <row r="12">
      <c r="A12" s="4" t="inlineStr">
        <is>
          <t>※</t>
        </is>
      </c>
      <c r="B12" s="14" t="inlineStr">
        <is>
          <t>기존 레시피 재사용 여부(2~4 생략 가능?)는 P0 실험 결과로 확정 — 잠정적으로는 신규 자재·신규 로트에서 취득 수행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2026-07-04T15:24:16Z</dcterms:created>
  <dcterms:modified xmlns:dcterms="http://purl.org/dc/terms/" xmlns:xsi="http://www.w3.org/2001/XMLSchema-instance" xsi:type="dcterms:W3CDTF">2026-07-05T06:23:58Z</dcterms:modified>
</cp:coreProperties>
</file>