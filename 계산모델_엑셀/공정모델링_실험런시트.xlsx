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Phase1_주효과_kV·R" sheetId="2" state="visible" r:id="rId2"/>
    <sheet xmlns:r="http://schemas.openxmlformats.org/officeDocument/2006/relationships" name="Phase2_재현성_F·W" sheetId="3" state="visible" r:id="rId3"/>
    <sheet xmlns:r="http://schemas.openxmlformats.org/officeDocument/2006/relationships" name="Phase3_교호작용" sheetId="4" state="visible" r:id="rId4"/>
    <sheet xmlns:r="http://schemas.openxmlformats.org/officeDocument/2006/relationships" name="Phase4_확인" sheetId="5" state="visible" r:id="rId5"/>
    <sheet xmlns:r="http://schemas.openxmlformats.org/officeDocument/2006/relationships" name="분석_역설계모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공정 모델링 실험 런시트 — 설계 설명</t>
        </is>
      </c>
    </row>
    <row r="2">
      <c r="A2" s="2" t="inlineStr">
        <is>
          <t>목표: 모델을 한번 구축하면 [범프직경 D 입력] → [최적 kV·R·F·W 자동 결정] 되어 측정직경=100%·void 면적오차 ≤ ε·검사시간 최소 를 만족시키는 역설계 모델.</t>
        </is>
      </c>
    </row>
    <row r="4">
      <c r="A4" s="3" t="inlineStr">
        <is>
          <t>★ 반드시 구분: 두 종류의 'bump diameter'</t>
        </is>
      </c>
    </row>
    <row r="5">
      <c r="A5" s="1" t="inlineStr">
        <is>
          <t>① PD직경 D (독립변수)</t>
        </is>
      </c>
      <c r="B5" s="2" t="inlineStr">
        <is>
          <t>PD로 확인한 실제 범프 직경. 자재 고유·고정값(26·158µm). = void 임계·N·bump면적의 기준이 되는 '참값'. 우리가 자재를 바꿔 입력하는 값.</t>
        </is>
      </c>
    </row>
    <row r="6">
      <c r="A6" s="1" t="inlineStr">
        <is>
          <t>② 측정직경 (종속변수)</t>
        </is>
      </c>
      <c r="B6" s="2" t="inlineStr">
        <is>
          <t>X-ray 검사 결과로 나온 직경. kV 등에 따라 변함. 목표는 이게 PD직경의 100%가 되는 것(Q_dia).</t>
        </is>
      </c>
    </row>
    <row r="7">
      <c r="A7" s="4" t="inlineStr">
        <is>
          <t>→ void% 는 '측정 bump면적'이 아니라 '고정된 PD면적' 기준으로 계산한다. 그래야 kV로 측정직경이 흔들려도 void 지표(분모)가 같이 흔들리지 않아 '같은 void'를 설정끼리 공정하게 비교할 수 있다. (장비가 내부적으로 쓰는 void%는 측정면적 기준이지만, 측정직경=PD인 최적점에서는 둘이 일치한다.)</t>
        </is>
      </c>
    </row>
    <row r="8"/>
    <row r="9"/>
    <row r="11">
      <c r="A11" s="5" t="inlineStr">
        <is>
          <t>■ 변수</t>
        </is>
      </c>
    </row>
    <row r="12">
      <c r="A12" t="inlineStr">
        <is>
          <t>독립변수</t>
        </is>
      </c>
      <c r="B12" s="2" t="inlineStr">
        <is>
          <t>kV, R(해상도), F(Frame), W(Power), PD직경 D(자재=26·158µm 2종)</t>
        </is>
      </c>
    </row>
    <row r="13">
      <c r="A13" t="inlineStr">
        <is>
          <t>종속변수</t>
        </is>
      </c>
      <c r="B13" s="2" t="inlineStr">
        <is>
          <t>① 측정직경/PD=Q_dia  ② void 면적(절대) → void%(PD기준)  ③ void% 반복 σ  ④ 매칭 성공(검출 성립)</t>
        </is>
      </c>
    </row>
    <row r="15">
      <c r="A15" s="5" t="inlineStr">
        <is>
          <t>■ 각 독립변수가 void 측정에 미치는 메커니즘</t>
        </is>
      </c>
    </row>
    <row r="16">
      <c r="A16" s="1" t="inlineStr">
        <is>
          <t>kV</t>
        </is>
      </c>
      <c r="B16" s="2" t="inlineStr">
        <is>
          <t>대비 이동 → threshold 경계 이동 → void 절대면적이 커/작게 (계통 bias). 또한 측정직경 다이얼.</t>
        </is>
      </c>
    </row>
    <row r="17">
      <c r="A17" s="1" t="inlineStr">
        <is>
          <t>R</t>
        </is>
      </c>
      <c r="B17" s="2" t="inlineStr">
        <is>
          <t>픽셀화 오차 = 2/N (N=임계void지름/R = 0.283·PD직경/R). shot당 범프수·검사시간 ∝R².</t>
        </is>
      </c>
    </row>
    <row r="18">
      <c r="A18" s="1" t="inlineStr">
        <is>
          <t>W</t>
        </is>
      </c>
      <c r="B18" s="2" t="inlineStr">
        <is>
          <t>두꺼운 범프 내부 광자부족 → 노이즈 void·경계 흔들림. 얇은 범프는 둔감.</t>
        </is>
      </c>
    </row>
    <row r="19">
      <c r="A19" s="1" t="inlineStr">
        <is>
          <t>F</t>
        </is>
      </c>
      <c r="B19" s="2" t="inlineStr">
        <is>
          <t>랜덤 노이즈 평균화(∝1/√F) → 반복 재현성 σ. 시간 정비례.</t>
        </is>
      </c>
    </row>
    <row r="21">
      <c r="A21" s="5" t="inlineStr">
        <is>
          <t>■ OFAT 한계 + 설계</t>
        </is>
      </c>
    </row>
    <row r="22">
      <c r="A22" s="2" t="inlineStr">
        <is>
          <t>교호작용(kV×R, W×F, 각×D)이 있어 한 변수씩만으론 모델 불가. 완전요인(2⁵)은 과다 → [주효과 스윕 + 의심 교호작용만 2×2 교차]. 분리 가정은 '확인' 단계서 검증.</t>
        </is>
      </c>
    </row>
    <row r="23"/>
    <row r="25">
      <c r="A25" s="3" t="inlineStr">
        <is>
          <t>■ Ground Truth 없이 void 다루기 (자기참조 + 재현성)</t>
        </is>
      </c>
    </row>
    <row r="26">
      <c r="A26" s="2" t="inlineStr">
        <is>
          <t>진짜 void 여부(절대정확도)는 검증 불가(단면검사 영역). 대신 ①자기참조 — 가장 정밀 설정(N≥58·F64·kV*)의 void%(PD)를 '기준(gold)'으로 삼아 편차 측정 ②재현성 σ — 같은 범프 ≥3회. 매칭 성공은 장비 자동 로그(GT 불필요).</t>
        </is>
      </c>
    </row>
    <row r="27"/>
    <row r="28"/>
    <row r="30">
      <c r="A30" s="5" t="inlineStr">
        <is>
          <t>■ 면적오차 ε=10% (승인)</t>
        </is>
      </c>
    </row>
    <row r="31">
      <c r="A31" s="2" t="inlineStr">
        <is>
          <t>게이지 규칙(측정오차 ≤ 공차10%=우수)을 임계값 8%에 적용. ε=10%는 [픽셀화 ⊕ 노이즈] 총예산 (2/N)²+(2σ)²≤10² → N_target≈29, void%σ≤~3.5%. N은 PD직경 기준.</t>
        </is>
      </c>
    </row>
    <row r="32"/>
    <row r="34">
      <c r="A34" s="2" t="inlineStr">
        <is>
          <t>※ 한계: 자재 2종 → D축 2점 직선(외삽·곡률은 3번째 자재 필요).</t>
        </is>
      </c>
    </row>
  </sheetData>
  <mergeCells count="15">
    <mergeCell ref="A4:H4"/>
    <mergeCell ref="A22:H23"/>
    <mergeCell ref="A26:H28"/>
    <mergeCell ref="B17:H17"/>
    <mergeCell ref="B18:H18"/>
    <mergeCell ref="B13:H13"/>
    <mergeCell ref="A34:H34"/>
    <mergeCell ref="B19:H19"/>
    <mergeCell ref="A2:H2"/>
    <mergeCell ref="B12:H12"/>
    <mergeCell ref="A31:H32"/>
    <mergeCell ref="B6:H6"/>
    <mergeCell ref="B16:H16"/>
    <mergeCell ref="B5:H5"/>
    <mergeCell ref="A7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6" customWidth="1" min="14" max="14"/>
    <col width="16" customWidth="1" min="15" max="15"/>
    <col width="13" customWidth="1" min="16" max="16"/>
    <col width="10" customWidth="1" min="17" max="17"/>
    <col width="8" customWidth="1" min="18" max="18"/>
    <col width="26" customWidth="1" min="19" max="19"/>
  </cols>
  <sheetData>
    <row r="1">
      <c r="A1" s="1" t="inlineStr">
        <is>
          <t>Phase1_주효과_kV·R</t>
        </is>
      </c>
    </row>
    <row r="2">
      <c r="A2" s="4" t="inlineStr">
        <is>
          <t>직경 다이얼(kV)과 void 픽셀화(R)를 자재별 스윕. R최소(N≥58)행이 그 범프의 gold → 그 void%(PD)를 O열에 옮겨 적음. 고정: kV스윕은 gold R·F32·W4 / R스윕은 kV*·F32·W4.</t>
        </is>
      </c>
    </row>
    <row r="3">
      <c r="A3" s="2" t="inlineStr">
        <is>
          <t>D(C열)=PD직경(독립·참값) / 측정직경(J열)=검사결과(종속). void%(N열)는 PD면적 기준 자동계산.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void면적(절대,µm²)</t>
        </is>
      </c>
      <c r="N5" s="6" t="inlineStr">
        <is>
          <t>void%(PD기준)(자동)</t>
        </is>
      </c>
      <c r="O5" s="6" t="inlineStr">
        <is>
          <t>기준gold void%(PD)</t>
        </is>
      </c>
      <c r="P5" s="6" t="inlineStr">
        <is>
          <t>void편차%(자동)</t>
        </is>
      </c>
      <c r="Q5" s="6" t="inlineStr">
        <is>
          <t>판정(자동)</t>
        </is>
      </c>
      <c r="R5" s="6" t="inlineStr">
        <is>
          <t>tact(초)</t>
        </is>
      </c>
      <c r="S5" s="6" t="inlineStr">
        <is>
          <t>메모</t>
        </is>
      </c>
    </row>
    <row r="6">
      <c r="A6" t="inlineStr">
        <is>
          <t>kV1</t>
        </is>
      </c>
      <c r="B6" t="inlineStr">
        <is>
          <t>26µm</t>
        </is>
      </c>
      <c r="C6" t="n">
        <v>26</v>
      </c>
      <c r="D6" t="n">
        <v>55.5</v>
      </c>
      <c r="E6" t="n">
        <v>0.13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N6">
        <f>IFERROR(M6/(0.7854*C6^2)*100,"")</f>
        <v/>
      </c>
      <c r="P6">
        <f>IFERROR((N6-O6)/O6,"")</f>
        <v/>
      </c>
      <c r="Q6">
        <f>IF(J6="","",IF(AND(L6="Y",K6&gt;=0.97,K6&lt;=1.03,IFERROR(ABS(P6)&lt;=0.1,FALSE)),"PASS","FAIL"))</f>
        <v/>
      </c>
      <c r="S6" t="inlineStr">
        <is>
          <t>측정직경=PD 되는 kV* 찾기</t>
        </is>
      </c>
    </row>
    <row r="7">
      <c r="A7" t="inlineStr">
        <is>
          <t>kV2</t>
        </is>
      </c>
      <c r="B7" t="inlineStr">
        <is>
          <t>26µm</t>
        </is>
      </c>
      <c r="C7" t="n">
        <v>26</v>
      </c>
      <c r="D7" t="n">
        <v>57.5</v>
      </c>
      <c r="E7" t="n">
        <v>0.13</v>
      </c>
      <c r="F7">
        <f>IFERROR(ROUND(C7*0.2828/E7,0),"")</f>
        <v/>
      </c>
      <c r="G7" t="n">
        <v>32</v>
      </c>
      <c r="H7" t="n">
        <v>4</v>
      </c>
      <c r="I7" t="n">
        <v>1</v>
      </c>
      <c r="K7">
        <f>IFERROR(J7/C7,"")</f>
        <v/>
      </c>
      <c r="N7">
        <f>IFERROR(M7/(0.7854*C7^2)*100,"")</f>
        <v/>
      </c>
      <c r="P7">
        <f>IFERROR((N7-O7)/O7,"")</f>
        <v/>
      </c>
      <c r="Q7">
        <f>IF(J7="","",IF(AND(L7="Y",K7&gt;=0.97,K7&lt;=1.03,IFERROR(ABS(P7)&lt;=0.1,FALSE)),"PASS","FAIL"))</f>
        <v/>
      </c>
      <c r="S7" t="inlineStr">
        <is>
          <t>측정직경=PD 되는 kV* 찾기</t>
        </is>
      </c>
    </row>
    <row r="8">
      <c r="A8" t="inlineStr">
        <is>
          <t>kV3</t>
        </is>
      </c>
      <c r="B8" t="inlineStr">
        <is>
          <t>26µm</t>
        </is>
      </c>
      <c r="C8" t="n">
        <v>26</v>
      </c>
      <c r="D8" t="n">
        <v>59.5</v>
      </c>
      <c r="E8" t="n">
        <v>0.13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N8">
        <f>IFERROR(M8/(0.7854*C8^2)*100,"")</f>
        <v/>
      </c>
      <c r="P8">
        <f>IFERROR((N8-O8)/O8,"")</f>
        <v/>
      </c>
      <c r="Q8">
        <f>IF(J8="","",IF(AND(L8="Y",K8&gt;=0.97,K8&lt;=1.03,IFERROR(ABS(P8)&lt;=0.1,FALSE)),"PASS","FAIL"))</f>
        <v/>
      </c>
      <c r="S8" t="inlineStr">
        <is>
          <t>측정직경=PD 되는 kV* 찾기</t>
        </is>
      </c>
    </row>
    <row r="9">
      <c r="A9" t="inlineStr">
        <is>
          <t>kV4</t>
        </is>
      </c>
      <c r="B9" t="inlineStr">
        <is>
          <t>158µm</t>
        </is>
      </c>
      <c r="C9" t="n">
        <v>158</v>
      </c>
      <c r="D9" t="n">
        <v>58.5</v>
      </c>
      <c r="E9" t="n">
        <v>0.77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N9">
        <f>IFERROR(M9/(0.7854*C9^2)*100,"")</f>
        <v/>
      </c>
      <c r="P9">
        <f>IFERROR((N9-O9)/O9,"")</f>
        <v/>
      </c>
      <c r="Q9">
        <f>IF(J9="","",IF(AND(L9="Y",K9&gt;=0.97,K9&lt;=1.03,IFERROR(ABS(P9)&lt;=0.1,FALSE)),"PASS","FAIL"))</f>
        <v/>
      </c>
      <c r="S9" t="inlineStr">
        <is>
          <t>158µm kV* 찾기</t>
        </is>
      </c>
    </row>
    <row r="10">
      <c r="A10" t="inlineStr">
        <is>
          <t>kV5</t>
        </is>
      </c>
      <c r="B10" t="inlineStr">
        <is>
          <t>158µm</t>
        </is>
      </c>
      <c r="C10" t="n">
        <v>158</v>
      </c>
      <c r="D10" t="n">
        <v>60.5</v>
      </c>
      <c r="E10" t="n">
        <v>0.77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N10">
        <f>IFERROR(M10/(0.7854*C10^2)*100,"")</f>
        <v/>
      </c>
      <c r="P10">
        <f>IFERROR((N10-O10)/O10,"")</f>
        <v/>
      </c>
      <c r="Q10">
        <f>IF(J10="","",IF(AND(L10="Y",K10&gt;=0.97,K10&lt;=1.03,IFERROR(ABS(P10)&lt;=0.1,FALSE)),"PASS","FAIL"))</f>
        <v/>
      </c>
      <c r="S10" t="inlineStr">
        <is>
          <t>158µm kV* 찾기</t>
        </is>
      </c>
    </row>
    <row r="11">
      <c r="A11" t="inlineStr">
        <is>
          <t>kV6</t>
        </is>
      </c>
      <c r="B11" t="inlineStr">
        <is>
          <t>158µm</t>
        </is>
      </c>
      <c r="C11" t="n">
        <v>158</v>
      </c>
      <c r="D11" t="n">
        <v>62.5</v>
      </c>
      <c r="E11" t="n">
        <v>0.77</v>
      </c>
      <c r="F11">
        <f>IFERROR(ROUND(C11*0.2828/E11,0),"")</f>
        <v/>
      </c>
      <c r="G11" t="n">
        <v>32</v>
      </c>
      <c r="H11" t="n">
        <v>4</v>
      </c>
      <c r="I11" t="n">
        <v>1</v>
      </c>
      <c r="K11">
        <f>IFERROR(J11/C11,"")</f>
        <v/>
      </c>
      <c r="N11">
        <f>IFERROR(M11/(0.7854*C11^2)*100,"")</f>
        <v/>
      </c>
      <c r="P11">
        <f>IFERROR((N11-O11)/O11,"")</f>
        <v/>
      </c>
      <c r="Q11">
        <f>IF(J11="","",IF(AND(L11="Y",K11&gt;=0.97,K11&lt;=1.03,IFERROR(ABS(P11)&lt;=0.1,FALSE)),"PASS","FAIL"))</f>
        <v/>
      </c>
      <c r="S11" t="inlineStr">
        <is>
          <t>158µm kV* 찾기</t>
        </is>
      </c>
    </row>
    <row r="12">
      <c r="A12" t="inlineStr">
        <is>
          <t>R1</t>
        </is>
      </c>
      <c r="B12" t="inlineStr">
        <is>
          <t>26µm</t>
        </is>
      </c>
      <c r="C12" t="n">
        <v>26</v>
      </c>
      <c r="D12" t="n">
        <v>57.5</v>
      </c>
      <c r="E12" t="n">
        <v>0.13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N12">
        <f>IFERROR(M12/(0.7854*C12^2)*100,"")</f>
        <v/>
      </c>
      <c r="P12">
        <f>IFERROR((N12-O12)/O12,"")</f>
        <v/>
      </c>
      <c r="Q12">
        <f>IF(J12="","",IF(AND(L12="Y",K12&gt;=0.97,K12&lt;=1.03,IFERROR(ABS(P12)&lt;=0.1,FALSE)),"PASS","FAIL"))</f>
        <v/>
      </c>
      <c r="S12" t="inlineStr">
        <is>
          <t>N=58 =gold</t>
        </is>
      </c>
    </row>
    <row r="13">
      <c r="A13" t="inlineStr">
        <is>
          <t>R2</t>
        </is>
      </c>
      <c r="B13" t="inlineStr">
        <is>
          <t>26µm</t>
        </is>
      </c>
      <c r="C13" t="n">
        <v>26</v>
      </c>
      <c r="D13" t="n">
        <v>57.5</v>
      </c>
      <c r="E13" t="n">
        <v>0.25</v>
      </c>
      <c r="F13">
        <f>IFERROR(ROUND(C13*0.2828/E13,0),"")</f>
        <v/>
      </c>
      <c r="G13" t="n">
        <v>32</v>
      </c>
      <c r="H13" t="n">
        <v>4</v>
      </c>
      <c r="I13" t="n">
        <v>1</v>
      </c>
      <c r="K13">
        <f>IFERROR(J13/C13,"")</f>
        <v/>
      </c>
      <c r="N13">
        <f>IFERROR(M13/(0.7854*C13^2)*100,"")</f>
        <v/>
      </c>
      <c r="P13">
        <f>IFERROR((N13-O13)/O13,"")</f>
        <v/>
      </c>
      <c r="Q13">
        <f>IF(J13="","",IF(AND(L13="Y",K13&gt;=0.97,K13&lt;=1.03,IFERROR(ABS(P13)&lt;=0.1,FALSE)),"PASS","FAIL"))</f>
        <v/>
      </c>
      <c r="S13" t="inlineStr">
        <is>
          <t>N=29</t>
        </is>
      </c>
    </row>
    <row r="14">
      <c r="A14" t="inlineStr">
        <is>
          <t>R3</t>
        </is>
      </c>
      <c r="B14" t="inlineStr">
        <is>
          <t>26µm</t>
        </is>
      </c>
      <c r="C14" t="n">
        <v>26</v>
      </c>
      <c r="D14" t="n">
        <v>57.5</v>
      </c>
      <c r="E14" t="n">
        <v>0.53</v>
      </c>
      <c r="F14">
        <f>IFERROR(ROUND(C14*0.2828/E14,0),"")</f>
        <v/>
      </c>
      <c r="G14" t="n">
        <v>32</v>
      </c>
      <c r="H14" t="n">
        <v>4</v>
      </c>
      <c r="I14" t="n">
        <v>1</v>
      </c>
      <c r="K14">
        <f>IFERROR(J14/C14,"")</f>
        <v/>
      </c>
      <c r="N14">
        <f>IFERROR(M14/(0.7854*C14^2)*100,"")</f>
        <v/>
      </c>
      <c r="P14">
        <f>IFERROR((N14-O14)/O14,"")</f>
        <v/>
      </c>
      <c r="Q14">
        <f>IF(J14="","",IF(AND(L14="Y",K14&gt;=0.97,K14&lt;=1.03,IFERROR(ABS(P14)&lt;=0.1,FALSE)),"PASS","FAIL"))</f>
        <v/>
      </c>
      <c r="S14" t="inlineStr">
        <is>
          <t>N=14</t>
        </is>
      </c>
    </row>
    <row r="15">
      <c r="A15" t="inlineStr">
        <is>
          <t>R4</t>
        </is>
      </c>
      <c r="B15" t="inlineStr">
        <is>
          <t>158µm</t>
        </is>
      </c>
      <c r="C15" t="n">
        <v>158</v>
      </c>
      <c r="D15" t="n">
        <v>60.5</v>
      </c>
      <c r="E15" t="n">
        <v>0.77</v>
      </c>
      <c r="F15">
        <f>IFERROR(ROUND(C15*0.2828/E15,0),"")</f>
        <v/>
      </c>
      <c r="G15" t="n">
        <v>32</v>
      </c>
      <c r="H15" t="n">
        <v>4</v>
      </c>
      <c r="I15" t="n">
        <v>1</v>
      </c>
      <c r="K15">
        <f>IFERROR(J15/C15,"")</f>
        <v/>
      </c>
      <c r="N15">
        <f>IFERROR(M15/(0.7854*C15^2)*100,"")</f>
        <v/>
      </c>
      <c r="P15">
        <f>IFERROR((N15-O15)/O15,"")</f>
        <v/>
      </c>
      <c r="Q15">
        <f>IF(J15="","",IF(AND(L15="Y",K15&gt;=0.97,K15&lt;=1.03,IFERROR(ABS(P15)&lt;=0.1,FALSE)),"PASS","FAIL"))</f>
        <v/>
      </c>
      <c r="S15" t="inlineStr">
        <is>
          <t>N=58 =gold</t>
        </is>
      </c>
    </row>
    <row r="16">
      <c r="A16" t="inlineStr">
        <is>
          <t>R5</t>
        </is>
      </c>
      <c r="B16" t="inlineStr">
        <is>
          <t>158µm</t>
        </is>
      </c>
      <c r="C16" t="n">
        <v>158</v>
      </c>
      <c r="D16" t="n">
        <v>60.5</v>
      </c>
      <c r="E16" t="n">
        <v>1.54</v>
      </c>
      <c r="F16">
        <f>IFERROR(ROUND(C16*0.2828/E16,0),"")</f>
        <v/>
      </c>
      <c r="G16" t="n">
        <v>32</v>
      </c>
      <c r="H16" t="n">
        <v>4</v>
      </c>
      <c r="I16" t="n">
        <v>1</v>
      </c>
      <c r="K16">
        <f>IFERROR(J16/C16,"")</f>
        <v/>
      </c>
      <c r="N16">
        <f>IFERROR(M16/(0.7854*C16^2)*100,"")</f>
        <v/>
      </c>
      <c r="P16">
        <f>IFERROR((N16-O16)/O16,"")</f>
        <v/>
      </c>
      <c r="Q16">
        <f>IF(J16="","",IF(AND(L16="Y",K16&gt;=0.97,K16&lt;=1.03,IFERROR(ABS(P16)&lt;=0.1,FALSE)),"PASS","FAIL"))</f>
        <v/>
      </c>
      <c r="S16" t="inlineStr">
        <is>
          <t>N=29</t>
        </is>
      </c>
    </row>
    <row r="17">
      <c r="A17" t="inlineStr">
        <is>
          <t>R6</t>
        </is>
      </c>
      <c r="B17" t="inlineStr">
        <is>
          <t>158µm</t>
        </is>
      </c>
      <c r="C17" t="n">
        <v>158</v>
      </c>
      <c r="D17" t="n">
        <v>60.5</v>
      </c>
      <c r="E17" t="n">
        <v>3.19</v>
      </c>
      <c r="F17">
        <f>IFERROR(ROUND(C17*0.2828/E17,0),"")</f>
        <v/>
      </c>
      <c r="G17" t="n">
        <v>32</v>
      </c>
      <c r="H17" t="n">
        <v>4</v>
      </c>
      <c r="I17" t="n">
        <v>1</v>
      </c>
      <c r="K17">
        <f>IFERROR(J17/C17,"")</f>
        <v/>
      </c>
      <c r="N17">
        <f>IFERROR(M17/(0.7854*C17^2)*100,"")</f>
        <v/>
      </c>
      <c r="P17">
        <f>IFERROR((N17-O17)/O17,"")</f>
        <v/>
      </c>
      <c r="Q17">
        <f>IF(J17="","",IF(AND(L17="Y",K17&gt;=0.97,K17&lt;=1.03,IFERROR(ABS(P17)&lt;=0.1,FALSE)),"PASS","FAIL"))</f>
        <v/>
      </c>
      <c r="S17" t="inlineStr">
        <is>
          <t>N=14</t>
        </is>
      </c>
    </row>
  </sheetData>
  <mergeCells count="2">
    <mergeCell ref="A3:S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6" customWidth="1" min="14" max="14"/>
    <col width="16" customWidth="1" min="15" max="15"/>
    <col width="13" customWidth="1" min="16" max="16"/>
    <col width="10" customWidth="1" min="17" max="17"/>
    <col width="8" customWidth="1" min="18" max="18"/>
    <col width="26" customWidth="1" min="19" max="19"/>
    <col width="14" customWidth="1" min="20" max="20"/>
  </cols>
  <sheetData>
    <row r="1">
      <c r="A1" s="1" t="inlineStr">
        <is>
          <t>Phase2_재현성_F·W</t>
        </is>
      </c>
    </row>
    <row r="2">
      <c r="A2" s="4" t="inlineStr">
        <is>
          <t>같은 범프 ≥3회 → void%(PD) 반복편차 σ. 26µm=F스윕(W4), 158µm=W스윕(F32). 고정 kV*·R(N29). σ는 3반복 그룹 첫행 자동.</t>
        </is>
      </c>
    </row>
    <row r="3">
      <c r="A3" s="2" t="inlineStr">
        <is>
          <t>D(C열)=PD직경(독립·참값) / 측정직경(J열)=검사결과(종속). void%(N열)는 PD면적 기준 자동계산.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void면적(절대,µm²)</t>
        </is>
      </c>
      <c r="N5" s="6" t="inlineStr">
        <is>
          <t>void%(PD기준)(자동)</t>
        </is>
      </c>
      <c r="O5" s="6" t="inlineStr">
        <is>
          <t>기준gold void%(PD)</t>
        </is>
      </c>
      <c r="P5" s="6" t="inlineStr">
        <is>
          <t>void편차%(자동)</t>
        </is>
      </c>
      <c r="Q5" s="6" t="inlineStr">
        <is>
          <t>판정(자동)</t>
        </is>
      </c>
      <c r="R5" s="6" t="inlineStr">
        <is>
          <t>tact(초)</t>
        </is>
      </c>
      <c r="S5" s="6" t="inlineStr">
        <is>
          <t>메모</t>
        </is>
      </c>
      <c r="T5" s="6" t="inlineStr">
        <is>
          <t>void%σ_rel(자동)</t>
        </is>
      </c>
    </row>
    <row r="6">
      <c r="A6" t="inlineStr">
        <is>
          <t>F16</t>
        </is>
      </c>
      <c r="B6" t="inlineStr">
        <is>
          <t>26µm</t>
        </is>
      </c>
      <c r="C6" t="n">
        <v>26</v>
      </c>
      <c r="D6" t="n">
        <v>57.5</v>
      </c>
      <c r="E6" t="n">
        <v>0.25</v>
      </c>
      <c r="F6">
        <f>IFERROR(ROUND(C6*0.2828/E6,0),"")</f>
        <v/>
      </c>
      <c r="G6" t="n">
        <v>16</v>
      </c>
      <c r="H6" t="n">
        <v>4</v>
      </c>
      <c r="I6" t="n">
        <v>1</v>
      </c>
      <c r="K6">
        <f>IFERROR(J6/C6,"")</f>
        <v/>
      </c>
      <c r="N6">
        <f>IFERROR(M6/(0.7854*C6^2)*100,"")</f>
        <v/>
      </c>
      <c r="P6">
        <f>IFERROR((N6-O6)/O6,"")</f>
        <v/>
      </c>
      <c r="Q6">
        <f>IF(J6="","",IF(AND(L6="Y",K6&gt;=0.97,K6&lt;=1.03,IFERROR(ABS(P6)&lt;=0.1,FALSE)),"PASS","FAIL"))</f>
        <v/>
      </c>
      <c r="S6" t="inlineStr">
        <is>
          <t>F=16 재현성</t>
        </is>
      </c>
      <c r="T6">
        <f>IFERROR(STDEV(N6:N8)/AVERAGE(N6:N8),"")</f>
        <v/>
      </c>
    </row>
    <row r="7">
      <c r="A7" t="inlineStr">
        <is>
          <t>F16</t>
        </is>
      </c>
      <c r="B7" t="inlineStr">
        <is>
          <t>26µm</t>
        </is>
      </c>
      <c r="C7" t="n">
        <v>26</v>
      </c>
      <c r="D7" t="n">
        <v>57.5</v>
      </c>
      <c r="E7" t="n">
        <v>0.25</v>
      </c>
      <c r="F7">
        <f>IFERROR(ROUND(C7*0.2828/E7,0),"")</f>
        <v/>
      </c>
      <c r="G7" t="n">
        <v>16</v>
      </c>
      <c r="H7" t="n">
        <v>4</v>
      </c>
      <c r="I7" t="n">
        <v>2</v>
      </c>
      <c r="K7">
        <f>IFERROR(J7/C7,"")</f>
        <v/>
      </c>
      <c r="N7">
        <f>IFERROR(M7/(0.7854*C7^2)*100,"")</f>
        <v/>
      </c>
      <c r="P7">
        <f>IFERROR((N7-O7)/O7,"")</f>
        <v/>
      </c>
      <c r="Q7">
        <f>IF(J7="","",IF(AND(L7="Y",K7&gt;=0.97,K7&lt;=1.03,IFERROR(ABS(P7)&lt;=0.1,FALSE)),"PASS","FAIL"))</f>
        <v/>
      </c>
      <c r="S7" t="inlineStr"/>
    </row>
    <row r="8">
      <c r="A8" t="inlineStr">
        <is>
          <t>F16</t>
        </is>
      </c>
      <c r="B8" t="inlineStr">
        <is>
          <t>26µm</t>
        </is>
      </c>
      <c r="C8" t="n">
        <v>26</v>
      </c>
      <c r="D8" t="n">
        <v>57.5</v>
      </c>
      <c r="E8" t="n">
        <v>0.25</v>
      </c>
      <c r="F8">
        <f>IFERROR(ROUND(C8*0.2828/E8,0),"")</f>
        <v/>
      </c>
      <c r="G8" t="n">
        <v>16</v>
      </c>
      <c r="H8" t="n">
        <v>4</v>
      </c>
      <c r="I8" t="n">
        <v>3</v>
      </c>
      <c r="K8">
        <f>IFERROR(J8/C8,"")</f>
        <v/>
      </c>
      <c r="N8">
        <f>IFERROR(M8/(0.7854*C8^2)*100,"")</f>
        <v/>
      </c>
      <c r="P8">
        <f>IFERROR((N8-O8)/O8,"")</f>
        <v/>
      </c>
      <c r="Q8">
        <f>IF(J8="","",IF(AND(L8="Y",K8&gt;=0.97,K8&lt;=1.03,IFERROR(ABS(P8)&lt;=0.1,FALSE)),"PASS","FAIL"))</f>
        <v/>
      </c>
      <c r="S8" t="inlineStr"/>
    </row>
    <row r="9">
      <c r="A9" t="inlineStr">
        <is>
          <t>F32</t>
        </is>
      </c>
      <c r="B9" t="inlineStr">
        <is>
          <t>26µm</t>
        </is>
      </c>
      <c r="C9" t="n">
        <v>26</v>
      </c>
      <c r="D9" t="n">
        <v>57.5</v>
      </c>
      <c r="E9" t="n">
        <v>0.25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N9">
        <f>IFERROR(M9/(0.7854*C9^2)*100,"")</f>
        <v/>
      </c>
      <c r="P9">
        <f>IFERROR((N9-O9)/O9,"")</f>
        <v/>
      </c>
      <c r="Q9">
        <f>IF(J9="","",IF(AND(L9="Y",K9&gt;=0.97,K9&lt;=1.03,IFERROR(ABS(P9)&lt;=0.1,FALSE)),"PASS","FAIL"))</f>
        <v/>
      </c>
      <c r="S9" t="inlineStr">
        <is>
          <t>F=32 재현성</t>
        </is>
      </c>
      <c r="T9">
        <f>IFERROR(STDEV(N9:N11)/AVERAGE(N9:N11),"")</f>
        <v/>
      </c>
    </row>
    <row r="10">
      <c r="A10" t="inlineStr">
        <is>
          <t>F32</t>
        </is>
      </c>
      <c r="B10" t="inlineStr">
        <is>
          <t>26µm</t>
        </is>
      </c>
      <c r="C10" t="n">
        <v>26</v>
      </c>
      <c r="D10" t="n">
        <v>57.5</v>
      </c>
      <c r="E10" t="n">
        <v>0.25</v>
      </c>
      <c r="F10">
        <f>IFERROR(ROUND(C10*0.2828/E10,0),"")</f>
        <v/>
      </c>
      <c r="G10" t="n">
        <v>32</v>
      </c>
      <c r="H10" t="n">
        <v>4</v>
      </c>
      <c r="I10" t="n">
        <v>2</v>
      </c>
      <c r="K10">
        <f>IFERROR(J10/C10,"")</f>
        <v/>
      </c>
      <c r="N10">
        <f>IFERROR(M10/(0.7854*C10^2)*100,"")</f>
        <v/>
      </c>
      <c r="P10">
        <f>IFERROR((N10-O10)/O10,"")</f>
        <v/>
      </c>
      <c r="Q10">
        <f>IF(J10="","",IF(AND(L10="Y",K10&gt;=0.97,K10&lt;=1.03,IFERROR(ABS(P10)&lt;=0.1,FALSE)),"PASS","FAIL"))</f>
        <v/>
      </c>
      <c r="S10" t="inlineStr"/>
    </row>
    <row r="11">
      <c r="A11" t="inlineStr">
        <is>
          <t>F32</t>
        </is>
      </c>
      <c r="B11" t="inlineStr">
        <is>
          <t>26µm</t>
        </is>
      </c>
      <c r="C11" t="n">
        <v>26</v>
      </c>
      <c r="D11" t="n">
        <v>57.5</v>
      </c>
      <c r="E11" t="n">
        <v>0.25</v>
      </c>
      <c r="F11">
        <f>IFERROR(ROUND(C11*0.2828/E11,0),"")</f>
        <v/>
      </c>
      <c r="G11" t="n">
        <v>32</v>
      </c>
      <c r="H11" t="n">
        <v>4</v>
      </c>
      <c r="I11" t="n">
        <v>3</v>
      </c>
      <c r="K11">
        <f>IFERROR(J11/C11,"")</f>
        <v/>
      </c>
      <c r="N11">
        <f>IFERROR(M11/(0.7854*C11^2)*100,"")</f>
        <v/>
      </c>
      <c r="P11">
        <f>IFERROR((N11-O11)/O11,"")</f>
        <v/>
      </c>
      <c r="Q11">
        <f>IF(J11="","",IF(AND(L11="Y",K11&gt;=0.97,K11&lt;=1.03,IFERROR(ABS(P11)&lt;=0.1,FALSE)),"PASS","FAIL"))</f>
        <v/>
      </c>
      <c r="S11" t="inlineStr"/>
    </row>
    <row r="12">
      <c r="A12" t="inlineStr">
        <is>
          <t>F64</t>
        </is>
      </c>
      <c r="B12" t="inlineStr">
        <is>
          <t>26µm</t>
        </is>
      </c>
      <c r="C12" t="n">
        <v>26</v>
      </c>
      <c r="D12" t="n">
        <v>57.5</v>
      </c>
      <c r="E12" t="n">
        <v>0.25</v>
      </c>
      <c r="F12">
        <f>IFERROR(ROUND(C12*0.2828/E12,0),"")</f>
        <v/>
      </c>
      <c r="G12" t="n">
        <v>64</v>
      </c>
      <c r="H12" t="n">
        <v>4</v>
      </c>
      <c r="I12" t="n">
        <v>1</v>
      </c>
      <c r="K12">
        <f>IFERROR(J12/C12,"")</f>
        <v/>
      </c>
      <c r="N12">
        <f>IFERROR(M12/(0.7854*C12^2)*100,"")</f>
        <v/>
      </c>
      <c r="P12">
        <f>IFERROR((N12-O12)/O12,"")</f>
        <v/>
      </c>
      <c r="Q12">
        <f>IF(J12="","",IF(AND(L12="Y",K12&gt;=0.97,K12&lt;=1.03,IFERROR(ABS(P12)&lt;=0.1,FALSE)),"PASS","FAIL"))</f>
        <v/>
      </c>
      <c r="S12" t="inlineStr">
        <is>
          <t>F=64 재현성</t>
        </is>
      </c>
      <c r="T12">
        <f>IFERROR(STDEV(N12:N14)/AVERAGE(N12:N14),"")</f>
        <v/>
      </c>
    </row>
    <row r="13">
      <c r="A13" t="inlineStr">
        <is>
          <t>F64</t>
        </is>
      </c>
      <c r="B13" t="inlineStr">
        <is>
          <t>26µm</t>
        </is>
      </c>
      <c r="C13" t="n">
        <v>26</v>
      </c>
      <c r="D13" t="n">
        <v>57.5</v>
      </c>
      <c r="E13" t="n">
        <v>0.25</v>
      </c>
      <c r="F13">
        <f>IFERROR(ROUND(C13*0.2828/E13,0),"")</f>
        <v/>
      </c>
      <c r="G13" t="n">
        <v>64</v>
      </c>
      <c r="H13" t="n">
        <v>4</v>
      </c>
      <c r="I13" t="n">
        <v>2</v>
      </c>
      <c r="K13">
        <f>IFERROR(J13/C13,"")</f>
        <v/>
      </c>
      <c r="N13">
        <f>IFERROR(M13/(0.7854*C13^2)*100,"")</f>
        <v/>
      </c>
      <c r="P13">
        <f>IFERROR((N13-O13)/O13,"")</f>
        <v/>
      </c>
      <c r="Q13">
        <f>IF(J13="","",IF(AND(L13="Y",K13&gt;=0.97,K13&lt;=1.03,IFERROR(ABS(P13)&lt;=0.1,FALSE)),"PASS","FAIL"))</f>
        <v/>
      </c>
      <c r="S13" t="inlineStr"/>
    </row>
    <row r="14">
      <c r="A14" t="inlineStr">
        <is>
          <t>F64</t>
        </is>
      </c>
      <c r="B14" t="inlineStr">
        <is>
          <t>26µm</t>
        </is>
      </c>
      <c r="C14" t="n">
        <v>26</v>
      </c>
      <c r="D14" t="n">
        <v>57.5</v>
      </c>
      <c r="E14" t="n">
        <v>0.25</v>
      </c>
      <c r="F14">
        <f>IFERROR(ROUND(C14*0.2828/E14,0),"")</f>
        <v/>
      </c>
      <c r="G14" t="n">
        <v>64</v>
      </c>
      <c r="H14" t="n">
        <v>4</v>
      </c>
      <c r="I14" t="n">
        <v>3</v>
      </c>
      <c r="K14">
        <f>IFERROR(J14/C14,"")</f>
        <v/>
      </c>
      <c r="N14">
        <f>IFERROR(M14/(0.7854*C14^2)*100,"")</f>
        <v/>
      </c>
      <c r="P14">
        <f>IFERROR((N14-O14)/O14,"")</f>
        <v/>
      </c>
      <c r="Q14">
        <f>IF(J14="","",IF(AND(L14="Y",K14&gt;=0.97,K14&lt;=1.03,IFERROR(ABS(P14)&lt;=0.1,FALSE)),"PASS","FAIL"))</f>
        <v/>
      </c>
      <c r="S14" t="inlineStr"/>
    </row>
    <row r="15">
      <c r="A15" t="inlineStr">
        <is>
          <t>W3</t>
        </is>
      </c>
      <c r="B15" t="inlineStr">
        <is>
          <t>158µm</t>
        </is>
      </c>
      <c r="C15" t="n">
        <v>158</v>
      </c>
      <c r="D15" t="n">
        <v>60.5</v>
      </c>
      <c r="E15" t="n">
        <v>1.54</v>
      </c>
      <c r="F15">
        <f>IFERROR(ROUND(C15*0.2828/E15,0),"")</f>
        <v/>
      </c>
      <c r="G15" t="n">
        <v>32</v>
      </c>
      <c r="H15" t="n">
        <v>3</v>
      </c>
      <c r="I15" t="n">
        <v>1</v>
      </c>
      <c r="K15">
        <f>IFERROR(J15/C15,"")</f>
        <v/>
      </c>
      <c r="N15">
        <f>IFERROR(M15/(0.7854*C15^2)*100,"")</f>
        <v/>
      </c>
      <c r="P15">
        <f>IFERROR((N15-O15)/O15,"")</f>
        <v/>
      </c>
      <c r="Q15">
        <f>IF(J15="","",IF(AND(L15="Y",K15&gt;=0.97,K15&lt;=1.03,IFERROR(ABS(P15)&lt;=0.1,FALSE)),"PASS","FAIL"))</f>
        <v/>
      </c>
      <c r="S15" t="inlineStr">
        <is>
          <t>W=3 재현성·깜빡임</t>
        </is>
      </c>
      <c r="T15">
        <f>IFERROR(STDEV(N15:N17)/AVERAGE(N15:N17),"")</f>
        <v/>
      </c>
    </row>
    <row r="16">
      <c r="A16" t="inlineStr">
        <is>
          <t>W3</t>
        </is>
      </c>
      <c r="B16" t="inlineStr">
        <is>
          <t>158µm</t>
        </is>
      </c>
      <c r="C16" t="n">
        <v>158</v>
      </c>
      <c r="D16" t="n">
        <v>60.5</v>
      </c>
      <c r="E16" t="n">
        <v>1.54</v>
      </c>
      <c r="F16">
        <f>IFERROR(ROUND(C16*0.2828/E16,0),"")</f>
        <v/>
      </c>
      <c r="G16" t="n">
        <v>32</v>
      </c>
      <c r="H16" t="n">
        <v>3</v>
      </c>
      <c r="I16" t="n">
        <v>2</v>
      </c>
      <c r="K16">
        <f>IFERROR(J16/C16,"")</f>
        <v/>
      </c>
      <c r="N16">
        <f>IFERROR(M16/(0.7854*C16^2)*100,"")</f>
        <v/>
      </c>
      <c r="P16">
        <f>IFERROR((N16-O16)/O16,"")</f>
        <v/>
      </c>
      <c r="Q16">
        <f>IF(J16="","",IF(AND(L16="Y",K16&gt;=0.97,K16&lt;=1.03,IFERROR(ABS(P16)&lt;=0.1,FALSE)),"PASS","FAIL"))</f>
        <v/>
      </c>
      <c r="S16" t="inlineStr"/>
    </row>
    <row r="17">
      <c r="A17" t="inlineStr">
        <is>
          <t>W3</t>
        </is>
      </c>
      <c r="B17" t="inlineStr">
        <is>
          <t>158µm</t>
        </is>
      </c>
      <c r="C17" t="n">
        <v>158</v>
      </c>
      <c r="D17" t="n">
        <v>60.5</v>
      </c>
      <c r="E17" t="n">
        <v>1.54</v>
      </c>
      <c r="F17">
        <f>IFERROR(ROUND(C17*0.2828/E17,0),"")</f>
        <v/>
      </c>
      <c r="G17" t="n">
        <v>32</v>
      </c>
      <c r="H17" t="n">
        <v>3</v>
      </c>
      <c r="I17" t="n">
        <v>3</v>
      </c>
      <c r="K17">
        <f>IFERROR(J17/C17,"")</f>
        <v/>
      </c>
      <c r="N17">
        <f>IFERROR(M17/(0.7854*C17^2)*100,"")</f>
        <v/>
      </c>
      <c r="P17">
        <f>IFERROR((N17-O17)/O17,"")</f>
        <v/>
      </c>
      <c r="Q17">
        <f>IF(J17="","",IF(AND(L17="Y",K17&gt;=0.97,K17&lt;=1.03,IFERROR(ABS(P17)&lt;=0.1,FALSE)),"PASS","FAIL"))</f>
        <v/>
      </c>
      <c r="S17" t="inlineStr"/>
    </row>
    <row r="18">
      <c r="A18" t="inlineStr">
        <is>
          <t>W4</t>
        </is>
      </c>
      <c r="B18" t="inlineStr">
        <is>
          <t>158µm</t>
        </is>
      </c>
      <c r="C18" t="n">
        <v>158</v>
      </c>
      <c r="D18" t="n">
        <v>60.5</v>
      </c>
      <c r="E18" t="n">
        <v>1.54</v>
      </c>
      <c r="F18">
        <f>IFERROR(ROUND(C18*0.2828/E18,0),"")</f>
        <v/>
      </c>
      <c r="G18" t="n">
        <v>32</v>
      </c>
      <c r="H18" t="n">
        <v>4</v>
      </c>
      <c r="I18" t="n">
        <v>1</v>
      </c>
      <c r="K18">
        <f>IFERROR(J18/C18,"")</f>
        <v/>
      </c>
      <c r="N18">
        <f>IFERROR(M18/(0.7854*C18^2)*100,"")</f>
        <v/>
      </c>
      <c r="P18">
        <f>IFERROR((N18-O18)/O18,"")</f>
        <v/>
      </c>
      <c r="Q18">
        <f>IF(J18="","",IF(AND(L18="Y",K18&gt;=0.97,K18&lt;=1.03,IFERROR(ABS(P18)&lt;=0.1,FALSE)),"PASS","FAIL"))</f>
        <v/>
      </c>
      <c r="S18" t="inlineStr">
        <is>
          <t>W=4 재현성·깜빡임</t>
        </is>
      </c>
      <c r="T18">
        <f>IFERROR(STDEV(N18:N20)/AVERAGE(N18:N20),"")</f>
        <v/>
      </c>
    </row>
    <row r="19">
      <c r="A19" t="inlineStr">
        <is>
          <t>W4</t>
        </is>
      </c>
      <c r="B19" t="inlineStr">
        <is>
          <t>158µm</t>
        </is>
      </c>
      <c r="C19" t="n">
        <v>158</v>
      </c>
      <c r="D19" t="n">
        <v>60.5</v>
      </c>
      <c r="E19" t="n">
        <v>1.54</v>
      </c>
      <c r="F19">
        <f>IFERROR(ROUND(C19*0.2828/E19,0),"")</f>
        <v/>
      </c>
      <c r="G19" t="n">
        <v>32</v>
      </c>
      <c r="H19" t="n">
        <v>4</v>
      </c>
      <c r="I19" t="n">
        <v>2</v>
      </c>
      <c r="K19">
        <f>IFERROR(J19/C19,"")</f>
        <v/>
      </c>
      <c r="N19">
        <f>IFERROR(M19/(0.7854*C19^2)*100,"")</f>
        <v/>
      </c>
      <c r="P19">
        <f>IFERROR((N19-O19)/O19,"")</f>
        <v/>
      </c>
      <c r="Q19">
        <f>IF(J19="","",IF(AND(L19="Y",K19&gt;=0.97,K19&lt;=1.03,IFERROR(ABS(P19)&lt;=0.1,FALSE)),"PASS","FAIL"))</f>
        <v/>
      </c>
      <c r="S19" t="inlineStr"/>
    </row>
    <row r="20">
      <c r="A20" t="inlineStr">
        <is>
          <t>W4</t>
        </is>
      </c>
      <c r="B20" t="inlineStr">
        <is>
          <t>158µm</t>
        </is>
      </c>
      <c r="C20" t="n">
        <v>158</v>
      </c>
      <c r="D20" t="n">
        <v>60.5</v>
      </c>
      <c r="E20" t="n">
        <v>1.54</v>
      </c>
      <c r="F20">
        <f>IFERROR(ROUND(C20*0.2828/E20,0),"")</f>
        <v/>
      </c>
      <c r="G20" t="n">
        <v>32</v>
      </c>
      <c r="H20" t="n">
        <v>4</v>
      </c>
      <c r="I20" t="n">
        <v>3</v>
      </c>
      <c r="K20">
        <f>IFERROR(J20/C20,"")</f>
        <v/>
      </c>
      <c r="N20">
        <f>IFERROR(M20/(0.7854*C20^2)*100,"")</f>
        <v/>
      </c>
      <c r="P20">
        <f>IFERROR((N20-O20)/O20,"")</f>
        <v/>
      </c>
      <c r="Q20">
        <f>IF(J20="","",IF(AND(L20="Y",K20&gt;=0.97,K20&lt;=1.03,IFERROR(ABS(P20)&lt;=0.1,FALSE)),"PASS","FAIL"))</f>
        <v/>
      </c>
      <c r="S20" t="inlineStr"/>
    </row>
    <row r="21">
      <c r="A21" t="inlineStr">
        <is>
          <t>W5</t>
        </is>
      </c>
      <c r="B21" t="inlineStr">
        <is>
          <t>158µm</t>
        </is>
      </c>
      <c r="C21" t="n">
        <v>158</v>
      </c>
      <c r="D21" t="n">
        <v>60.5</v>
      </c>
      <c r="E21" t="n">
        <v>1.54</v>
      </c>
      <c r="F21">
        <f>IFERROR(ROUND(C21*0.2828/E21,0),"")</f>
        <v/>
      </c>
      <c r="G21" t="n">
        <v>32</v>
      </c>
      <c r="H21" t="n">
        <v>5</v>
      </c>
      <c r="I21" t="n">
        <v>1</v>
      </c>
      <c r="K21">
        <f>IFERROR(J21/C21,"")</f>
        <v/>
      </c>
      <c r="N21">
        <f>IFERROR(M21/(0.7854*C21^2)*100,"")</f>
        <v/>
      </c>
      <c r="P21">
        <f>IFERROR((N21-O21)/O21,"")</f>
        <v/>
      </c>
      <c r="Q21">
        <f>IF(J21="","",IF(AND(L21="Y",K21&gt;=0.97,K21&lt;=1.03,IFERROR(ABS(P21)&lt;=0.1,FALSE)),"PASS","FAIL"))</f>
        <v/>
      </c>
      <c r="S21" t="inlineStr">
        <is>
          <t>W=5 재현성·깜빡임</t>
        </is>
      </c>
      <c r="T21">
        <f>IFERROR(STDEV(N21:N23)/AVERAGE(N21:N23),"")</f>
        <v/>
      </c>
    </row>
    <row r="22">
      <c r="A22" t="inlineStr">
        <is>
          <t>W5</t>
        </is>
      </c>
      <c r="B22" t="inlineStr">
        <is>
          <t>158µm</t>
        </is>
      </c>
      <c r="C22" t="n">
        <v>158</v>
      </c>
      <c r="D22" t="n">
        <v>60.5</v>
      </c>
      <c r="E22" t="n">
        <v>1.54</v>
      </c>
      <c r="F22">
        <f>IFERROR(ROUND(C22*0.2828/E22,0),"")</f>
        <v/>
      </c>
      <c r="G22" t="n">
        <v>32</v>
      </c>
      <c r="H22" t="n">
        <v>5</v>
      </c>
      <c r="I22" t="n">
        <v>2</v>
      </c>
      <c r="K22">
        <f>IFERROR(J22/C22,"")</f>
        <v/>
      </c>
      <c r="N22">
        <f>IFERROR(M22/(0.7854*C22^2)*100,"")</f>
        <v/>
      </c>
      <c r="P22">
        <f>IFERROR((N22-O22)/O22,"")</f>
        <v/>
      </c>
      <c r="Q22">
        <f>IF(J22="","",IF(AND(L22="Y",K22&gt;=0.97,K22&lt;=1.03,IFERROR(ABS(P22)&lt;=0.1,FALSE)),"PASS","FAIL"))</f>
        <v/>
      </c>
      <c r="S22" t="inlineStr"/>
    </row>
    <row r="23">
      <c r="A23" t="inlineStr">
        <is>
          <t>W5</t>
        </is>
      </c>
      <c r="B23" t="inlineStr">
        <is>
          <t>158µm</t>
        </is>
      </c>
      <c r="C23" t="n">
        <v>158</v>
      </c>
      <c r="D23" t="n">
        <v>60.5</v>
      </c>
      <c r="E23" t="n">
        <v>1.54</v>
      </c>
      <c r="F23">
        <f>IFERROR(ROUND(C23*0.2828/E23,0),"")</f>
        <v/>
      </c>
      <c r="G23" t="n">
        <v>32</v>
      </c>
      <c r="H23" t="n">
        <v>5</v>
      </c>
      <c r="I23" t="n">
        <v>3</v>
      </c>
      <c r="K23">
        <f>IFERROR(J23/C23,"")</f>
        <v/>
      </c>
      <c r="N23">
        <f>IFERROR(M23/(0.7854*C23^2)*100,"")</f>
        <v/>
      </c>
      <c r="P23">
        <f>IFERROR((N23-O23)/O23,"")</f>
        <v/>
      </c>
      <c r="Q23">
        <f>IF(J23="","",IF(AND(L23="Y",K23&gt;=0.97,K23&lt;=1.03,IFERROR(ABS(P23)&lt;=0.1,FALSE)),"PASS","FAIL"))</f>
        <v/>
      </c>
      <c r="S23" t="inlineStr"/>
    </row>
    <row r="24">
      <c r="A24" t="inlineStr">
        <is>
          <t>W6</t>
        </is>
      </c>
      <c r="B24" t="inlineStr">
        <is>
          <t>158µm</t>
        </is>
      </c>
      <c r="C24" t="n">
        <v>158</v>
      </c>
      <c r="D24" t="n">
        <v>60.5</v>
      </c>
      <c r="E24" t="n">
        <v>1.54</v>
      </c>
      <c r="F24">
        <f>IFERROR(ROUND(C24*0.2828/E24,0),"")</f>
        <v/>
      </c>
      <c r="G24" t="n">
        <v>32</v>
      </c>
      <c r="H24" t="n">
        <v>6</v>
      </c>
      <c r="I24" t="n">
        <v>1</v>
      </c>
      <c r="K24">
        <f>IFERROR(J24/C24,"")</f>
        <v/>
      </c>
      <c r="N24">
        <f>IFERROR(M24/(0.7854*C24^2)*100,"")</f>
        <v/>
      </c>
      <c r="P24">
        <f>IFERROR((N24-O24)/O24,"")</f>
        <v/>
      </c>
      <c r="Q24">
        <f>IF(J24="","",IF(AND(L24="Y",K24&gt;=0.97,K24&lt;=1.03,IFERROR(ABS(P24)&lt;=0.1,FALSE)),"PASS","FAIL"))</f>
        <v/>
      </c>
      <c r="S24" t="inlineStr">
        <is>
          <t>W=6 재현성·깜빡임</t>
        </is>
      </c>
      <c r="T24">
        <f>IFERROR(STDEV(N24:N26)/AVERAGE(N24:N26),"")</f>
        <v/>
      </c>
    </row>
    <row r="25">
      <c r="A25" t="inlineStr">
        <is>
          <t>W6</t>
        </is>
      </c>
      <c r="B25" t="inlineStr">
        <is>
          <t>158µm</t>
        </is>
      </c>
      <c r="C25" t="n">
        <v>158</v>
      </c>
      <c r="D25" t="n">
        <v>60.5</v>
      </c>
      <c r="E25" t="n">
        <v>1.54</v>
      </c>
      <c r="F25">
        <f>IFERROR(ROUND(C25*0.2828/E25,0),"")</f>
        <v/>
      </c>
      <c r="G25" t="n">
        <v>32</v>
      </c>
      <c r="H25" t="n">
        <v>6</v>
      </c>
      <c r="I25" t="n">
        <v>2</v>
      </c>
      <c r="K25">
        <f>IFERROR(J25/C25,"")</f>
        <v/>
      </c>
      <c r="N25">
        <f>IFERROR(M25/(0.7854*C25^2)*100,"")</f>
        <v/>
      </c>
      <c r="P25">
        <f>IFERROR((N25-O25)/O25,"")</f>
        <v/>
      </c>
      <c r="Q25">
        <f>IF(J25="","",IF(AND(L25="Y",K25&gt;=0.97,K25&lt;=1.03,IFERROR(ABS(P25)&lt;=0.1,FALSE)),"PASS","FAIL"))</f>
        <v/>
      </c>
      <c r="S25" t="inlineStr"/>
    </row>
    <row r="26">
      <c r="A26" t="inlineStr">
        <is>
          <t>W6</t>
        </is>
      </c>
      <c r="B26" t="inlineStr">
        <is>
          <t>158µm</t>
        </is>
      </c>
      <c r="C26" t="n">
        <v>158</v>
      </c>
      <c r="D26" t="n">
        <v>60.5</v>
      </c>
      <c r="E26" t="n">
        <v>1.54</v>
      </c>
      <c r="F26">
        <f>IFERROR(ROUND(C26*0.2828/E26,0),"")</f>
        <v/>
      </c>
      <c r="G26" t="n">
        <v>32</v>
      </c>
      <c r="H26" t="n">
        <v>6</v>
      </c>
      <c r="I26" t="n">
        <v>3</v>
      </c>
      <c r="K26">
        <f>IFERROR(J26/C26,"")</f>
        <v/>
      </c>
      <c r="N26">
        <f>IFERROR(M26/(0.7854*C26^2)*100,"")</f>
        <v/>
      </c>
      <c r="P26">
        <f>IFERROR((N26-O26)/O26,"")</f>
        <v/>
      </c>
      <c r="Q26">
        <f>IF(J26="","",IF(AND(L26="Y",K26&gt;=0.97,K26&lt;=1.03,IFERROR(ABS(P26)&lt;=0.1,FALSE)),"PASS","FAIL"))</f>
        <v/>
      </c>
      <c r="S26" t="inlineStr"/>
    </row>
  </sheetData>
  <mergeCells count="2">
    <mergeCell ref="A3:S3"/>
    <mergeCell ref="A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6" customWidth="1" min="14" max="14"/>
    <col width="16" customWidth="1" min="15" max="15"/>
    <col width="13" customWidth="1" min="16" max="16"/>
    <col width="10" customWidth="1" min="17" max="17"/>
    <col width="8" customWidth="1" min="18" max="18"/>
    <col width="26" customWidth="1" min="19" max="19"/>
    <col width="14" customWidth="1" min="20" max="20"/>
  </cols>
  <sheetData>
    <row r="1">
      <c r="A1" s="1" t="inlineStr">
        <is>
          <t>Phase3_교호작용</t>
        </is>
      </c>
    </row>
    <row r="2">
      <c r="A2" s="4" t="inlineStr">
        <is>
          <t>의심 교호작용만 2×2(각 2반복). kV×R(26µm): 대비bias×픽셀화 / W×F(158µm): SNR∝√(W·F) 교환. ×D는 두 자재로 확인.</t>
        </is>
      </c>
    </row>
    <row r="3">
      <c r="A3" s="2" t="inlineStr">
        <is>
          <t>D(C열)=PD직경(독립·참값) / 측정직경(J열)=검사결과(종속). void%(N열)는 PD면적 기준 자동계산.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void면적(절대,µm²)</t>
        </is>
      </c>
      <c r="N5" s="6" t="inlineStr">
        <is>
          <t>void%(PD기준)(자동)</t>
        </is>
      </c>
      <c r="O5" s="6" t="inlineStr">
        <is>
          <t>기준gold void%(PD)</t>
        </is>
      </c>
      <c r="P5" s="6" t="inlineStr">
        <is>
          <t>void편차%(자동)</t>
        </is>
      </c>
      <c r="Q5" s="6" t="inlineStr">
        <is>
          <t>판정(자동)</t>
        </is>
      </c>
      <c r="R5" s="6" t="inlineStr">
        <is>
          <t>tact(초)</t>
        </is>
      </c>
      <c r="S5" s="6" t="inlineStr">
        <is>
          <t>메모</t>
        </is>
      </c>
      <c r="T5" s="6" t="inlineStr">
        <is>
          <t>void%σ_rel(자동)</t>
        </is>
      </c>
    </row>
    <row r="6">
      <c r="A6" t="inlineStr">
        <is>
          <t>KR</t>
        </is>
      </c>
      <c r="B6" t="inlineStr">
        <is>
          <t>26µm</t>
        </is>
      </c>
      <c r="C6" t="n">
        <v>26</v>
      </c>
      <c r="D6" t="n">
        <v>55.5</v>
      </c>
      <c r="E6" t="n">
        <v>0.53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N6">
        <f>IFERROR(M6/(0.7854*C6^2)*100,"")</f>
        <v/>
      </c>
      <c r="P6">
        <f>IFERROR((N6-O6)/O6,"")</f>
        <v/>
      </c>
      <c r="Q6">
        <f>IF(J6="","",IF(AND(L6="Y",K6&gt;=0.97,K6&lt;=1.03,IFERROR(ABS(P6)&lt;=0.1,FALSE)),"PASS","FAIL"))</f>
        <v/>
      </c>
      <c r="S6" t="inlineStr">
        <is>
          <t>kV55.5×N14</t>
        </is>
      </c>
      <c r="T6">
        <f>IFERROR(STDEV(N6:N7)/AVERAGE(N6:N7),"")</f>
        <v/>
      </c>
    </row>
    <row r="7">
      <c r="A7" t="inlineStr">
        <is>
          <t>KR</t>
        </is>
      </c>
      <c r="B7" t="inlineStr">
        <is>
          <t>26µm</t>
        </is>
      </c>
      <c r="C7" t="n">
        <v>26</v>
      </c>
      <c r="D7" t="n">
        <v>55.5</v>
      </c>
      <c r="E7" t="n">
        <v>0.53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N7">
        <f>IFERROR(M7/(0.7854*C7^2)*100,"")</f>
        <v/>
      </c>
      <c r="P7">
        <f>IFERROR((N7-O7)/O7,"")</f>
        <v/>
      </c>
      <c r="Q7">
        <f>IF(J7="","",IF(AND(L7="Y",K7&gt;=0.97,K7&lt;=1.03,IFERROR(ABS(P7)&lt;=0.1,FALSE)),"PASS","FAIL"))</f>
        <v/>
      </c>
      <c r="S7" t="inlineStr"/>
    </row>
    <row r="8">
      <c r="A8" t="inlineStr">
        <is>
          <t>KR</t>
        </is>
      </c>
      <c r="B8" t="inlineStr">
        <is>
          <t>26µm</t>
        </is>
      </c>
      <c r="C8" t="n">
        <v>26</v>
      </c>
      <c r="D8" t="n">
        <v>55.5</v>
      </c>
      <c r="E8" t="n">
        <v>0.13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N8">
        <f>IFERROR(M8/(0.7854*C8^2)*100,"")</f>
        <v/>
      </c>
      <c r="P8">
        <f>IFERROR((N8-O8)/O8,"")</f>
        <v/>
      </c>
      <c r="Q8">
        <f>IF(J8="","",IF(AND(L8="Y",K8&gt;=0.97,K8&lt;=1.03,IFERROR(ABS(P8)&lt;=0.1,FALSE)),"PASS","FAIL"))</f>
        <v/>
      </c>
      <c r="S8" t="inlineStr">
        <is>
          <t>kV55.5×N58</t>
        </is>
      </c>
      <c r="T8">
        <f>IFERROR(STDEV(N8:N9)/AVERAGE(N8:N9),"")</f>
        <v/>
      </c>
    </row>
    <row r="9">
      <c r="A9" t="inlineStr">
        <is>
          <t>KR</t>
        </is>
      </c>
      <c r="B9" t="inlineStr">
        <is>
          <t>26µm</t>
        </is>
      </c>
      <c r="C9" t="n">
        <v>26</v>
      </c>
      <c r="D9" t="n">
        <v>55.5</v>
      </c>
      <c r="E9" t="n">
        <v>0.13</v>
      </c>
      <c r="F9">
        <f>IFERROR(ROUND(C9*0.2828/E9,0),"")</f>
        <v/>
      </c>
      <c r="G9" t="n">
        <v>32</v>
      </c>
      <c r="H9" t="n">
        <v>4</v>
      </c>
      <c r="I9" t="n">
        <v>2</v>
      </c>
      <c r="K9">
        <f>IFERROR(J9/C9,"")</f>
        <v/>
      </c>
      <c r="N9">
        <f>IFERROR(M9/(0.7854*C9^2)*100,"")</f>
        <v/>
      </c>
      <c r="P9">
        <f>IFERROR((N9-O9)/O9,"")</f>
        <v/>
      </c>
      <c r="Q9">
        <f>IF(J9="","",IF(AND(L9="Y",K9&gt;=0.97,K9&lt;=1.03,IFERROR(ABS(P9)&lt;=0.1,FALSE)),"PASS","FAIL"))</f>
        <v/>
      </c>
      <c r="S9" t="inlineStr"/>
    </row>
    <row r="10">
      <c r="A10" t="inlineStr">
        <is>
          <t>KR</t>
        </is>
      </c>
      <c r="B10" t="inlineStr">
        <is>
          <t>26µm</t>
        </is>
      </c>
      <c r="C10" t="n">
        <v>26</v>
      </c>
      <c r="D10" t="n">
        <v>59.5</v>
      </c>
      <c r="E10" t="n">
        <v>0.53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N10">
        <f>IFERROR(M10/(0.7854*C10^2)*100,"")</f>
        <v/>
      </c>
      <c r="P10">
        <f>IFERROR((N10-O10)/O10,"")</f>
        <v/>
      </c>
      <c r="Q10">
        <f>IF(J10="","",IF(AND(L10="Y",K10&gt;=0.97,K10&lt;=1.03,IFERROR(ABS(P10)&lt;=0.1,FALSE)),"PASS","FAIL"))</f>
        <v/>
      </c>
      <c r="S10" t="inlineStr">
        <is>
          <t>kV59.5×N14</t>
        </is>
      </c>
      <c r="T10">
        <f>IFERROR(STDEV(N10:N11)/AVERAGE(N10:N11),"")</f>
        <v/>
      </c>
    </row>
    <row r="11">
      <c r="A11" t="inlineStr">
        <is>
          <t>KR</t>
        </is>
      </c>
      <c r="B11" t="inlineStr">
        <is>
          <t>26µm</t>
        </is>
      </c>
      <c r="C11" t="n">
        <v>26</v>
      </c>
      <c r="D11" t="n">
        <v>59.5</v>
      </c>
      <c r="E11" t="n">
        <v>0.53</v>
      </c>
      <c r="F11">
        <f>IFERROR(ROUND(C11*0.2828/E11,0),"")</f>
        <v/>
      </c>
      <c r="G11" t="n">
        <v>32</v>
      </c>
      <c r="H11" t="n">
        <v>4</v>
      </c>
      <c r="I11" t="n">
        <v>2</v>
      </c>
      <c r="K11">
        <f>IFERROR(J11/C11,"")</f>
        <v/>
      </c>
      <c r="N11">
        <f>IFERROR(M11/(0.7854*C11^2)*100,"")</f>
        <v/>
      </c>
      <c r="P11">
        <f>IFERROR((N11-O11)/O11,"")</f>
        <v/>
      </c>
      <c r="Q11">
        <f>IF(J11="","",IF(AND(L11="Y",K11&gt;=0.97,K11&lt;=1.03,IFERROR(ABS(P11)&lt;=0.1,FALSE)),"PASS","FAIL"))</f>
        <v/>
      </c>
      <c r="S11" t="inlineStr"/>
    </row>
    <row r="12">
      <c r="A12" t="inlineStr">
        <is>
          <t>KR</t>
        </is>
      </c>
      <c r="B12" t="inlineStr">
        <is>
          <t>26µm</t>
        </is>
      </c>
      <c r="C12" t="n">
        <v>26</v>
      </c>
      <c r="D12" t="n">
        <v>59.5</v>
      </c>
      <c r="E12" t="n">
        <v>0.13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N12">
        <f>IFERROR(M12/(0.7854*C12^2)*100,"")</f>
        <v/>
      </c>
      <c r="P12">
        <f>IFERROR((N12-O12)/O12,"")</f>
        <v/>
      </c>
      <c r="Q12">
        <f>IF(J12="","",IF(AND(L12="Y",K12&gt;=0.97,K12&lt;=1.03,IFERROR(ABS(P12)&lt;=0.1,FALSE)),"PASS","FAIL"))</f>
        <v/>
      </c>
      <c r="S12" t="inlineStr">
        <is>
          <t>kV59.5×N58</t>
        </is>
      </c>
      <c r="T12">
        <f>IFERROR(STDEV(N12:N13)/AVERAGE(N12:N13),"")</f>
        <v/>
      </c>
    </row>
    <row r="13">
      <c r="A13" t="inlineStr">
        <is>
          <t>KR</t>
        </is>
      </c>
      <c r="B13" t="inlineStr">
        <is>
          <t>26µm</t>
        </is>
      </c>
      <c r="C13" t="n">
        <v>26</v>
      </c>
      <c r="D13" t="n">
        <v>59.5</v>
      </c>
      <c r="E13" t="n">
        <v>0.13</v>
      </c>
      <c r="F13">
        <f>IFERROR(ROUND(C13*0.2828/E13,0),"")</f>
        <v/>
      </c>
      <c r="G13" t="n">
        <v>32</v>
      </c>
      <c r="H13" t="n">
        <v>4</v>
      </c>
      <c r="I13" t="n">
        <v>2</v>
      </c>
      <c r="K13">
        <f>IFERROR(J13/C13,"")</f>
        <v/>
      </c>
      <c r="N13">
        <f>IFERROR(M13/(0.7854*C13^2)*100,"")</f>
        <v/>
      </c>
      <c r="P13">
        <f>IFERROR((N13-O13)/O13,"")</f>
        <v/>
      </c>
      <c r="Q13">
        <f>IF(J13="","",IF(AND(L13="Y",K13&gt;=0.97,K13&lt;=1.03,IFERROR(ABS(P13)&lt;=0.1,FALSE)),"PASS","FAIL"))</f>
        <v/>
      </c>
      <c r="S13" t="inlineStr"/>
    </row>
    <row r="14">
      <c r="A14" t="inlineStr">
        <is>
          <t>WF</t>
        </is>
      </c>
      <c r="B14" t="inlineStr">
        <is>
          <t>158µm</t>
        </is>
      </c>
      <c r="C14" t="n">
        <v>158</v>
      </c>
      <c r="D14" t="n">
        <v>60.5</v>
      </c>
      <c r="E14" t="n">
        <v>1.54</v>
      </c>
      <c r="F14">
        <f>IFERROR(ROUND(C14*0.2828/E14,0),"")</f>
        <v/>
      </c>
      <c r="G14" t="n">
        <v>16</v>
      </c>
      <c r="H14" t="n">
        <v>4</v>
      </c>
      <c r="I14" t="n">
        <v>1</v>
      </c>
      <c r="K14">
        <f>IFERROR(J14/C14,"")</f>
        <v/>
      </c>
      <c r="N14">
        <f>IFERROR(M14/(0.7854*C14^2)*100,"")</f>
        <v/>
      </c>
      <c r="P14">
        <f>IFERROR((N14-O14)/O14,"")</f>
        <v/>
      </c>
      <c r="Q14">
        <f>IF(J14="","",IF(AND(L14="Y",K14&gt;=0.97,K14&lt;=1.03,IFERROR(ABS(P14)&lt;=0.1,FALSE)),"PASS","FAIL"))</f>
        <v/>
      </c>
      <c r="S14" t="inlineStr">
        <is>
          <t>W4×F16</t>
        </is>
      </c>
      <c r="T14">
        <f>IFERROR(STDEV(N14:N15)/AVERAGE(N14:N15),"")</f>
        <v/>
      </c>
    </row>
    <row r="15">
      <c r="A15" t="inlineStr">
        <is>
          <t>WF</t>
        </is>
      </c>
      <c r="B15" t="inlineStr">
        <is>
          <t>158µm</t>
        </is>
      </c>
      <c r="C15" t="n">
        <v>158</v>
      </c>
      <c r="D15" t="n">
        <v>60.5</v>
      </c>
      <c r="E15" t="n">
        <v>1.54</v>
      </c>
      <c r="F15">
        <f>IFERROR(ROUND(C15*0.2828/E15,0),"")</f>
        <v/>
      </c>
      <c r="G15" t="n">
        <v>16</v>
      </c>
      <c r="H15" t="n">
        <v>4</v>
      </c>
      <c r="I15" t="n">
        <v>2</v>
      </c>
      <c r="K15">
        <f>IFERROR(J15/C15,"")</f>
        <v/>
      </c>
      <c r="N15">
        <f>IFERROR(M15/(0.7854*C15^2)*100,"")</f>
        <v/>
      </c>
      <c r="P15">
        <f>IFERROR((N15-O15)/O15,"")</f>
        <v/>
      </c>
      <c r="Q15">
        <f>IF(J15="","",IF(AND(L15="Y",K15&gt;=0.97,K15&lt;=1.03,IFERROR(ABS(P15)&lt;=0.1,FALSE)),"PASS","FAIL"))</f>
        <v/>
      </c>
      <c r="S15" t="inlineStr"/>
    </row>
    <row r="16">
      <c r="A16" t="inlineStr">
        <is>
          <t>WF</t>
        </is>
      </c>
      <c r="B16" t="inlineStr">
        <is>
          <t>158µm</t>
        </is>
      </c>
      <c r="C16" t="n">
        <v>158</v>
      </c>
      <c r="D16" t="n">
        <v>60.5</v>
      </c>
      <c r="E16" t="n">
        <v>1.54</v>
      </c>
      <c r="F16">
        <f>IFERROR(ROUND(C16*0.2828/E16,0),"")</f>
        <v/>
      </c>
      <c r="G16" t="n">
        <v>32</v>
      </c>
      <c r="H16" t="n">
        <v>4</v>
      </c>
      <c r="I16" t="n">
        <v>1</v>
      </c>
      <c r="K16">
        <f>IFERROR(J16/C16,"")</f>
        <v/>
      </c>
      <c r="N16">
        <f>IFERROR(M16/(0.7854*C16^2)*100,"")</f>
        <v/>
      </c>
      <c r="P16">
        <f>IFERROR((N16-O16)/O16,"")</f>
        <v/>
      </c>
      <c r="Q16">
        <f>IF(J16="","",IF(AND(L16="Y",K16&gt;=0.97,K16&lt;=1.03,IFERROR(ABS(P16)&lt;=0.1,FALSE)),"PASS","FAIL"))</f>
        <v/>
      </c>
      <c r="S16" t="inlineStr">
        <is>
          <t>W4×F32</t>
        </is>
      </c>
      <c r="T16">
        <f>IFERROR(STDEV(N16:N17)/AVERAGE(N16:N17),"")</f>
        <v/>
      </c>
    </row>
    <row r="17">
      <c r="A17" t="inlineStr">
        <is>
          <t>WF</t>
        </is>
      </c>
      <c r="B17" t="inlineStr">
        <is>
          <t>158µm</t>
        </is>
      </c>
      <c r="C17" t="n">
        <v>158</v>
      </c>
      <c r="D17" t="n">
        <v>60.5</v>
      </c>
      <c r="E17" t="n">
        <v>1.54</v>
      </c>
      <c r="F17">
        <f>IFERROR(ROUND(C17*0.2828/E17,0),"")</f>
        <v/>
      </c>
      <c r="G17" t="n">
        <v>32</v>
      </c>
      <c r="H17" t="n">
        <v>4</v>
      </c>
      <c r="I17" t="n">
        <v>2</v>
      </c>
      <c r="K17">
        <f>IFERROR(J17/C17,"")</f>
        <v/>
      </c>
      <c r="N17">
        <f>IFERROR(M17/(0.7854*C17^2)*100,"")</f>
        <v/>
      </c>
      <c r="P17">
        <f>IFERROR((N17-O17)/O17,"")</f>
        <v/>
      </c>
      <c r="Q17">
        <f>IF(J17="","",IF(AND(L17="Y",K17&gt;=0.97,K17&lt;=1.03,IFERROR(ABS(P17)&lt;=0.1,FALSE)),"PASS","FAIL"))</f>
        <v/>
      </c>
      <c r="S17" t="inlineStr"/>
    </row>
    <row r="18">
      <c r="A18" t="inlineStr">
        <is>
          <t>WF</t>
        </is>
      </c>
      <c r="B18" t="inlineStr">
        <is>
          <t>158µm</t>
        </is>
      </c>
      <c r="C18" t="n">
        <v>158</v>
      </c>
      <c r="D18" t="n">
        <v>60.5</v>
      </c>
      <c r="E18" t="n">
        <v>1.54</v>
      </c>
      <c r="F18">
        <f>IFERROR(ROUND(C18*0.2828/E18,0),"")</f>
        <v/>
      </c>
      <c r="G18" t="n">
        <v>16</v>
      </c>
      <c r="H18" t="n">
        <v>6</v>
      </c>
      <c r="I18" t="n">
        <v>1</v>
      </c>
      <c r="K18">
        <f>IFERROR(J18/C18,"")</f>
        <v/>
      </c>
      <c r="N18">
        <f>IFERROR(M18/(0.7854*C18^2)*100,"")</f>
        <v/>
      </c>
      <c r="P18">
        <f>IFERROR((N18-O18)/O18,"")</f>
        <v/>
      </c>
      <c r="Q18">
        <f>IF(J18="","",IF(AND(L18="Y",K18&gt;=0.97,K18&lt;=1.03,IFERROR(ABS(P18)&lt;=0.1,FALSE)),"PASS","FAIL"))</f>
        <v/>
      </c>
      <c r="S18" t="inlineStr">
        <is>
          <t>W6×F16</t>
        </is>
      </c>
      <c r="T18">
        <f>IFERROR(STDEV(N18:N19)/AVERAGE(N18:N19),"")</f>
        <v/>
      </c>
    </row>
    <row r="19">
      <c r="A19" t="inlineStr">
        <is>
          <t>WF</t>
        </is>
      </c>
      <c r="B19" t="inlineStr">
        <is>
          <t>158µm</t>
        </is>
      </c>
      <c r="C19" t="n">
        <v>158</v>
      </c>
      <c r="D19" t="n">
        <v>60.5</v>
      </c>
      <c r="E19" t="n">
        <v>1.54</v>
      </c>
      <c r="F19">
        <f>IFERROR(ROUND(C19*0.2828/E19,0),"")</f>
        <v/>
      </c>
      <c r="G19" t="n">
        <v>16</v>
      </c>
      <c r="H19" t="n">
        <v>6</v>
      </c>
      <c r="I19" t="n">
        <v>2</v>
      </c>
      <c r="K19">
        <f>IFERROR(J19/C19,"")</f>
        <v/>
      </c>
      <c r="N19">
        <f>IFERROR(M19/(0.7854*C19^2)*100,"")</f>
        <v/>
      </c>
      <c r="P19">
        <f>IFERROR((N19-O19)/O19,"")</f>
        <v/>
      </c>
      <c r="Q19">
        <f>IF(J19="","",IF(AND(L19="Y",K19&gt;=0.97,K19&lt;=1.03,IFERROR(ABS(P19)&lt;=0.1,FALSE)),"PASS","FAIL"))</f>
        <v/>
      </c>
      <c r="S19" t="inlineStr"/>
    </row>
    <row r="20">
      <c r="A20" t="inlineStr">
        <is>
          <t>WF</t>
        </is>
      </c>
      <c r="B20" t="inlineStr">
        <is>
          <t>158µm</t>
        </is>
      </c>
      <c r="C20" t="n">
        <v>158</v>
      </c>
      <c r="D20" t="n">
        <v>60.5</v>
      </c>
      <c r="E20" t="n">
        <v>1.54</v>
      </c>
      <c r="F20">
        <f>IFERROR(ROUND(C20*0.2828/E20,0),"")</f>
        <v/>
      </c>
      <c r="G20" t="n">
        <v>32</v>
      </c>
      <c r="H20" t="n">
        <v>6</v>
      </c>
      <c r="I20" t="n">
        <v>1</v>
      </c>
      <c r="K20">
        <f>IFERROR(J20/C20,"")</f>
        <v/>
      </c>
      <c r="N20">
        <f>IFERROR(M20/(0.7854*C20^2)*100,"")</f>
        <v/>
      </c>
      <c r="P20">
        <f>IFERROR((N20-O20)/O20,"")</f>
        <v/>
      </c>
      <c r="Q20">
        <f>IF(J20="","",IF(AND(L20="Y",K20&gt;=0.97,K20&lt;=1.03,IFERROR(ABS(P20)&lt;=0.1,FALSE)),"PASS","FAIL"))</f>
        <v/>
      </c>
      <c r="S20" t="inlineStr">
        <is>
          <t>W6×F32</t>
        </is>
      </c>
      <c r="T20">
        <f>IFERROR(STDEV(N20:N21)/AVERAGE(N20:N21),"")</f>
        <v/>
      </c>
    </row>
    <row r="21">
      <c r="A21" t="inlineStr">
        <is>
          <t>WF</t>
        </is>
      </c>
      <c r="B21" t="inlineStr">
        <is>
          <t>158µm</t>
        </is>
      </c>
      <c r="C21" t="n">
        <v>158</v>
      </c>
      <c r="D21" t="n">
        <v>60.5</v>
      </c>
      <c r="E21" t="n">
        <v>1.54</v>
      </c>
      <c r="F21">
        <f>IFERROR(ROUND(C21*0.2828/E21,0),"")</f>
        <v/>
      </c>
      <c r="G21" t="n">
        <v>32</v>
      </c>
      <c r="H21" t="n">
        <v>6</v>
      </c>
      <c r="I21" t="n">
        <v>2</v>
      </c>
      <c r="K21">
        <f>IFERROR(J21/C21,"")</f>
        <v/>
      </c>
      <c r="N21">
        <f>IFERROR(M21/(0.7854*C21^2)*100,"")</f>
        <v/>
      </c>
      <c r="P21">
        <f>IFERROR((N21-O21)/O21,"")</f>
        <v/>
      </c>
      <c r="Q21">
        <f>IF(J21="","",IF(AND(L21="Y",K21&gt;=0.97,K21&lt;=1.03,IFERROR(ABS(P21)&lt;=0.1,FALSE)),"PASS","FAIL"))</f>
        <v/>
      </c>
      <c r="S21" t="inlineStr"/>
    </row>
  </sheetData>
  <mergeCells count="2">
    <mergeCell ref="A3:S3"/>
    <mergeCell ref="A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6" customWidth="1" min="14" max="14"/>
    <col width="16" customWidth="1" min="15" max="15"/>
    <col width="13" customWidth="1" min="16" max="16"/>
    <col width="10" customWidth="1" min="17" max="17"/>
    <col width="8" customWidth="1" min="18" max="18"/>
    <col width="26" customWidth="1" min="19" max="19"/>
    <col width="14" customWidth="1" min="20" max="20"/>
  </cols>
  <sheetData>
    <row r="1">
      <c r="A1" s="1" t="inlineStr">
        <is>
          <t>Phase4_확인</t>
        </is>
      </c>
    </row>
    <row r="2">
      <c r="A2" s="4" t="inlineStr">
        <is>
          <t>모델 산출 (kV,R,F,W)로 자재별 ×3반복. 합격: 매칭Y &amp; Q_dia 97~103% &amp; |void편차|≤10% &amp; σ≤3.5% &amp; tact 최소.</t>
        </is>
      </c>
    </row>
    <row r="3">
      <c r="A3" s="2" t="inlineStr">
        <is>
          <t>D(C열)=PD직경(독립·참값) / 측정직경(J열)=검사결과(종속). void%(N열)는 PD면적 기준 자동계산.</t>
        </is>
      </c>
    </row>
    <row r="5">
      <c r="A5" s="6" t="inlineStr">
        <is>
          <t>Run</t>
        </is>
      </c>
      <c r="B5" s="6" t="inlineStr">
        <is>
          <t>자재</t>
        </is>
      </c>
      <c r="C5" s="6" t="inlineStr">
        <is>
          <t>PD직경 D(µm)</t>
        </is>
      </c>
      <c r="D5" s="6" t="inlineStr">
        <is>
          <t>kV</t>
        </is>
      </c>
      <c r="E5" s="6" t="inlineStr">
        <is>
          <t>R(µm/px)</t>
        </is>
      </c>
      <c r="F5" s="6" t="inlineStr">
        <is>
          <t>N(자동)</t>
        </is>
      </c>
      <c r="G5" s="6" t="inlineStr">
        <is>
          <t>F</t>
        </is>
      </c>
      <c r="H5" s="6" t="inlineStr">
        <is>
          <t>W</t>
        </is>
      </c>
      <c r="I5" s="6" t="inlineStr">
        <is>
          <t>반복#</t>
        </is>
      </c>
      <c r="J5" s="6" t="inlineStr">
        <is>
          <t>측정직경(µm)</t>
        </is>
      </c>
      <c r="K5" s="6" t="inlineStr">
        <is>
          <t>Q_dia(자동)=측정÷PD</t>
        </is>
      </c>
      <c r="L5" s="6" t="inlineStr">
        <is>
          <t>매칭(Y/N)</t>
        </is>
      </c>
      <c r="M5" s="6" t="inlineStr">
        <is>
          <t>void면적(절대,µm²)</t>
        </is>
      </c>
      <c r="N5" s="6" t="inlineStr">
        <is>
          <t>void%(PD기준)(자동)</t>
        </is>
      </c>
      <c r="O5" s="6" t="inlineStr">
        <is>
          <t>기준gold void%(PD)</t>
        </is>
      </c>
      <c r="P5" s="6" t="inlineStr">
        <is>
          <t>void편차%(자동)</t>
        </is>
      </c>
      <c r="Q5" s="6" t="inlineStr">
        <is>
          <t>판정(자동)</t>
        </is>
      </c>
      <c r="R5" s="6" t="inlineStr">
        <is>
          <t>tact(초)</t>
        </is>
      </c>
      <c r="S5" s="6" t="inlineStr">
        <is>
          <t>메모</t>
        </is>
      </c>
      <c r="T5" s="6" t="inlineStr">
        <is>
          <t>void%σ_rel(자동)</t>
        </is>
      </c>
    </row>
    <row r="6">
      <c r="A6" t="inlineStr">
        <is>
          <t>C-26µ</t>
        </is>
      </c>
      <c r="B6" t="inlineStr">
        <is>
          <t>26µm</t>
        </is>
      </c>
      <c r="C6" t="n">
        <v>26</v>
      </c>
      <c r="D6" t="inlineStr">
        <is>
          <t>(모델kV*)</t>
        </is>
      </c>
      <c r="E6" t="inlineStr">
        <is>
          <t>(모델R)</t>
        </is>
      </c>
      <c r="F6">
        <f>IFERROR(ROUND(C6*0.2828/E6,0),"")</f>
        <v/>
      </c>
      <c r="G6" t="n">
        <v>32</v>
      </c>
      <c r="H6" t="inlineStr">
        <is>
          <t>(모델W)</t>
        </is>
      </c>
      <c r="I6" t="n">
        <v>1</v>
      </c>
      <c r="K6">
        <f>IFERROR(J6/C6,"")</f>
        <v/>
      </c>
      <c r="N6">
        <f>IFERROR(M6/(0.7854*C6^2)*100,"")</f>
        <v/>
      </c>
      <c r="P6">
        <f>IFERROR((N6-O6)/O6,"")</f>
        <v/>
      </c>
      <c r="Q6">
        <f>IF(J6="","",IF(AND(L6="Y",K6&gt;=0.97,K6&lt;=1.03,IFERROR(ABS(P6)&lt;=0.1,FALSE)),"PASS","FAIL"))</f>
        <v/>
      </c>
      <c r="S6" t="inlineStr">
        <is>
          <t>모델 산출값 검증</t>
        </is>
      </c>
      <c r="T6">
        <f>IFERROR(STDEV(N6:N8)/AVERAGE(N6:N8),"")</f>
        <v/>
      </c>
    </row>
    <row r="7">
      <c r="A7" t="inlineStr">
        <is>
          <t>C-26µ</t>
        </is>
      </c>
      <c r="B7" t="inlineStr">
        <is>
          <t>26µm</t>
        </is>
      </c>
      <c r="C7" t="n">
        <v>26</v>
      </c>
      <c r="D7" t="inlineStr">
        <is>
          <t>(모델kV*)</t>
        </is>
      </c>
      <c r="E7" t="inlineStr">
        <is>
          <t>(모델R)</t>
        </is>
      </c>
      <c r="F7">
        <f>IFERROR(ROUND(C7*0.2828/E7,0),"")</f>
        <v/>
      </c>
      <c r="G7" t="n">
        <v>32</v>
      </c>
      <c r="H7" t="inlineStr">
        <is>
          <t>(모델W)</t>
        </is>
      </c>
      <c r="I7" t="n">
        <v>2</v>
      </c>
      <c r="K7">
        <f>IFERROR(J7/C7,"")</f>
        <v/>
      </c>
      <c r="N7">
        <f>IFERROR(M7/(0.7854*C7^2)*100,"")</f>
        <v/>
      </c>
      <c r="P7">
        <f>IFERROR((N7-O7)/O7,"")</f>
        <v/>
      </c>
      <c r="Q7">
        <f>IF(J7="","",IF(AND(L7="Y",K7&gt;=0.97,K7&lt;=1.03,IFERROR(ABS(P7)&lt;=0.1,FALSE)),"PASS","FAIL"))</f>
        <v/>
      </c>
      <c r="S7" t="inlineStr"/>
    </row>
    <row r="8">
      <c r="A8" t="inlineStr">
        <is>
          <t>C-26µ</t>
        </is>
      </c>
      <c r="B8" t="inlineStr">
        <is>
          <t>26µm</t>
        </is>
      </c>
      <c r="C8" t="n">
        <v>26</v>
      </c>
      <c r="D8" t="inlineStr">
        <is>
          <t>(모델kV*)</t>
        </is>
      </c>
      <c r="E8" t="inlineStr">
        <is>
          <t>(모델R)</t>
        </is>
      </c>
      <c r="F8">
        <f>IFERROR(ROUND(C8*0.2828/E8,0),"")</f>
        <v/>
      </c>
      <c r="G8" t="n">
        <v>32</v>
      </c>
      <c r="H8" t="inlineStr">
        <is>
          <t>(모델W)</t>
        </is>
      </c>
      <c r="I8" t="n">
        <v>3</v>
      </c>
      <c r="K8">
        <f>IFERROR(J8/C8,"")</f>
        <v/>
      </c>
      <c r="N8">
        <f>IFERROR(M8/(0.7854*C8^2)*100,"")</f>
        <v/>
      </c>
      <c r="P8">
        <f>IFERROR((N8-O8)/O8,"")</f>
        <v/>
      </c>
      <c r="Q8">
        <f>IF(J8="","",IF(AND(L8="Y",K8&gt;=0.97,K8&lt;=1.03,IFERROR(ABS(P8)&lt;=0.1,FALSE)),"PASS","FAIL"))</f>
        <v/>
      </c>
      <c r="S8" t="inlineStr"/>
    </row>
    <row r="9">
      <c r="A9" t="inlineStr">
        <is>
          <t>C-158</t>
        </is>
      </c>
      <c r="B9" t="inlineStr">
        <is>
          <t>158µm</t>
        </is>
      </c>
      <c r="C9" t="n">
        <v>158</v>
      </c>
      <c r="D9" t="inlineStr">
        <is>
          <t>(모델kV*)</t>
        </is>
      </c>
      <c r="E9" t="inlineStr">
        <is>
          <t>(모델R)</t>
        </is>
      </c>
      <c r="F9">
        <f>IFERROR(ROUND(C9*0.2828/E9,0),"")</f>
        <v/>
      </c>
      <c r="G9" t="n">
        <v>32</v>
      </c>
      <c r="H9" t="inlineStr">
        <is>
          <t>(모델W)</t>
        </is>
      </c>
      <c r="I9" t="n">
        <v>1</v>
      </c>
      <c r="K9">
        <f>IFERROR(J9/C9,"")</f>
        <v/>
      </c>
      <c r="N9">
        <f>IFERROR(M9/(0.7854*C9^2)*100,"")</f>
        <v/>
      </c>
      <c r="P9">
        <f>IFERROR((N9-O9)/O9,"")</f>
        <v/>
      </c>
      <c r="Q9">
        <f>IF(J9="","",IF(AND(L9="Y",K9&gt;=0.97,K9&lt;=1.03,IFERROR(ABS(P9)&lt;=0.1,FALSE)),"PASS","FAIL"))</f>
        <v/>
      </c>
      <c r="S9" t="inlineStr">
        <is>
          <t>모델 산출값 검증</t>
        </is>
      </c>
      <c r="T9">
        <f>IFERROR(STDEV(N9:N11)/AVERAGE(N9:N11),"")</f>
        <v/>
      </c>
    </row>
    <row r="10">
      <c r="A10" t="inlineStr">
        <is>
          <t>C-158</t>
        </is>
      </c>
      <c r="B10" t="inlineStr">
        <is>
          <t>158µm</t>
        </is>
      </c>
      <c r="C10" t="n">
        <v>158</v>
      </c>
      <c r="D10" t="inlineStr">
        <is>
          <t>(모델kV*)</t>
        </is>
      </c>
      <c r="E10" t="inlineStr">
        <is>
          <t>(모델R)</t>
        </is>
      </c>
      <c r="F10">
        <f>IFERROR(ROUND(C10*0.2828/E10,0),"")</f>
        <v/>
      </c>
      <c r="G10" t="n">
        <v>32</v>
      </c>
      <c r="H10" t="inlineStr">
        <is>
          <t>(모델W)</t>
        </is>
      </c>
      <c r="I10" t="n">
        <v>2</v>
      </c>
      <c r="K10">
        <f>IFERROR(J10/C10,"")</f>
        <v/>
      </c>
      <c r="N10">
        <f>IFERROR(M10/(0.7854*C10^2)*100,"")</f>
        <v/>
      </c>
      <c r="P10">
        <f>IFERROR((N10-O10)/O10,"")</f>
        <v/>
      </c>
      <c r="Q10">
        <f>IF(J10="","",IF(AND(L10="Y",K10&gt;=0.97,K10&lt;=1.03,IFERROR(ABS(P10)&lt;=0.1,FALSE)),"PASS","FAIL"))</f>
        <v/>
      </c>
      <c r="S10" t="inlineStr"/>
    </row>
    <row r="11">
      <c r="A11" t="inlineStr">
        <is>
          <t>C-158</t>
        </is>
      </c>
      <c r="B11" t="inlineStr">
        <is>
          <t>158µm</t>
        </is>
      </c>
      <c r="C11" t="n">
        <v>158</v>
      </c>
      <c r="D11" t="inlineStr">
        <is>
          <t>(모델kV*)</t>
        </is>
      </c>
      <c r="E11" t="inlineStr">
        <is>
          <t>(모델R)</t>
        </is>
      </c>
      <c r="F11">
        <f>IFERROR(ROUND(C11*0.2828/E11,0),"")</f>
        <v/>
      </c>
      <c r="G11" t="n">
        <v>32</v>
      </c>
      <c r="H11" t="inlineStr">
        <is>
          <t>(모델W)</t>
        </is>
      </c>
      <c r="I11" t="n">
        <v>3</v>
      </c>
      <c r="K11">
        <f>IFERROR(J11/C11,"")</f>
        <v/>
      </c>
      <c r="N11">
        <f>IFERROR(M11/(0.7854*C11^2)*100,"")</f>
        <v/>
      </c>
      <c r="P11">
        <f>IFERROR((N11-O11)/O11,"")</f>
        <v/>
      </c>
      <c r="Q11">
        <f>IF(J11="","",IF(AND(L11="Y",K11&gt;=0.97,K11&lt;=1.03,IFERROR(ABS(P11)&lt;=0.1,FALSE)),"PASS","FAIL"))</f>
        <v/>
      </c>
      <c r="S11" t="inlineStr"/>
    </row>
  </sheetData>
  <mergeCells count="2">
    <mergeCell ref="A3:S3"/>
    <mergeCell ref="A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역설계 모델 — 실험이 채워지면 계수 확정 → PD직경 D 입력 시 최적 파라미터 산출</t>
        </is>
      </c>
    </row>
    <row r="3">
      <c r="A3" s="5" t="inlineStr">
        <is>
          <t>■ 확정할 계수(순전파)</t>
        </is>
      </c>
    </row>
    <row r="4">
      <c r="A4" s="1" t="inlineStr">
        <is>
          <t>kV 직경식</t>
        </is>
      </c>
      <c r="B4" s="2" t="inlineStr">
        <is>
          <t>측정직경/PD = 1 + s·(kV−kV0). Phase1로 s·kV*(측정=PD 지점) 자재별 확정</t>
        </is>
      </c>
    </row>
    <row r="5">
      <c r="A5" s="1" t="inlineStr">
        <is>
          <t>N_target(R)</t>
        </is>
      </c>
      <c r="B5" s="2" t="inlineStr">
        <is>
          <t>Phase1 R스윕: gold(N58) 대비 |void편차|가 7% 넘기 시작하는 N. 이론 ≈29</t>
        </is>
      </c>
    </row>
    <row r="6">
      <c r="A6" s="1" t="inlineStr">
        <is>
          <t>σ(F)</t>
        </is>
      </c>
      <c r="B6" s="2" t="inlineStr">
        <is>
          <t>Phase2 F스윕: void%(PD) σ_rel ≤ 3.5% 되는 최소 F</t>
        </is>
      </c>
    </row>
    <row r="7">
      <c r="A7" s="1" t="inlineStr">
        <is>
          <t>W*(두꺼운)</t>
        </is>
      </c>
      <c r="B7" s="2" t="inlineStr">
        <is>
          <t>Phase2 W스윕: 깜빡임0 &amp; σ최소 &amp; 블러가드. 얇은범프=4W</t>
        </is>
      </c>
    </row>
    <row r="8">
      <c r="A8" s="1" t="inlineStr">
        <is>
          <t>교호작용</t>
        </is>
      </c>
      <c r="B8" s="2" t="inlineStr">
        <is>
          <t>Phase3 kV×R·W×F 계수. 유의하면 항 추가</t>
        </is>
      </c>
    </row>
    <row r="9">
      <c r="A9" s="1" t="inlineStr">
        <is>
          <t>tact(R,F)</t>
        </is>
      </c>
      <c r="B9" s="2" t="inlineStr">
        <is>
          <t>tact=a·(shot수·F)+b. shot수=ROUNDUP(목표범프/(R²비례 shot당범프))</t>
        </is>
      </c>
    </row>
    <row r="11">
      <c r="A11" s="5" t="inlineStr">
        <is>
          <t>■ 역설계 규칙 (PD직경 D 입력 → 파라미터)</t>
        </is>
      </c>
    </row>
    <row r="12">
      <c r="A12" s="1" t="inlineStr">
        <is>
          <t>입력</t>
        </is>
      </c>
      <c r="B12" s="2" t="inlineStr">
        <is>
          <t>PD직경 D, void임계 p(8%), (알면)높이 h</t>
        </is>
      </c>
    </row>
    <row r="13">
      <c r="A13" s="1" t="inlineStr">
        <is>
          <t>1) kV</t>
        </is>
      </c>
      <c r="B13" s="2" t="inlineStr">
        <is>
          <t>kV*(D) 직선에서 읽고 실검사서 1kV씩 트림해 측정직경=PD(100%) 확정</t>
        </is>
      </c>
    </row>
    <row r="14">
      <c r="A14" s="1" t="inlineStr">
        <is>
          <t>2) R</t>
        </is>
      </c>
      <c r="B14" s="2" t="inlineStr">
        <is>
          <t>R = D·√p / N_target (D=PD직경). 품질 한도 내 가장 거침=가장 빠름</t>
        </is>
      </c>
    </row>
    <row r="15">
      <c r="A15" s="1" t="inlineStr">
        <is>
          <t>3) F</t>
        </is>
      </c>
      <c r="B15" s="2" t="inlineStr">
        <is>
          <t>σ(F)에서 σ_rel≤3.5% 되는 최소 F</t>
        </is>
      </c>
    </row>
    <row r="16">
      <c r="A16" s="1" t="inlineStr">
        <is>
          <t>4) W</t>
        </is>
      </c>
      <c r="B16" s="2" t="inlineStr">
        <is>
          <t>얇으면 4W, 두꺼우면 W*(D). W↑로 F↓ 교환 고려</t>
        </is>
      </c>
    </row>
    <row r="17">
      <c r="A17" s="1" t="inlineStr">
        <is>
          <t>5) 검증</t>
        </is>
      </c>
      <c r="B17" s="2" t="inlineStr">
        <is>
          <t>tact 계산·합격기준 확인, 미달 시 해당 변수만 재조정</t>
        </is>
      </c>
    </row>
    <row r="19">
      <c r="A19" s="2" t="inlineStr">
        <is>
          <t>※ 확정 계수는 레시피모델.xlsx·파라미터_계산기.xlsx의 보정계수·N_target에 옮겨 적어 레시피 모델 완성.</t>
        </is>
      </c>
    </row>
    <row r="20"/>
  </sheetData>
  <mergeCells count="13">
    <mergeCell ref="B8:H8"/>
    <mergeCell ref="B14:H14"/>
    <mergeCell ref="B17:H17"/>
    <mergeCell ref="B9:H9"/>
    <mergeCell ref="B13:H13"/>
    <mergeCell ref="B4:H4"/>
    <mergeCell ref="B12:H12"/>
    <mergeCell ref="B6:H6"/>
    <mergeCell ref="B16:H16"/>
    <mergeCell ref="B15:H15"/>
    <mergeCell ref="B7:H7"/>
    <mergeCell ref="A19:H2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2026-07-05T08:08:41Z</dcterms:created>
  <dcterms:modified xmlns:dcterms="http://purl.org/dc/terms/" xmlns:xsi="http://www.w3.org/2001/XMLSchema-instance" xsi:type="dcterms:W3CDTF">2026-07-05T08:08:41Z</dcterms:modified>
</cp:coreProperties>
</file>