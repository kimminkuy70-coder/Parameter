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공정 모델링 실험 런시트 — 설계 설명</t>
        </is>
      </c>
    </row>
    <row r="2">
      <c r="A2" s="2" t="inlineStr">
        <is>
          <t>목표: 모델을 한번 구축하면 [범프직경 D 입력] → [최적 kV·R·F·W 자동 결정] 되어 측정직경=100%·void 면적오차 ≤ ε·검사시간 최소 를 만족시키는 역설계 모델.</t>
        </is>
      </c>
    </row>
    <row r="4">
      <c r="A4" s="3" t="inlineStr">
        <is>
          <t>■ 변수</t>
        </is>
      </c>
    </row>
    <row r="5">
      <c r="A5" t="inlineStr">
        <is>
          <t>독립변수(우리가 조절)</t>
        </is>
      </c>
      <c r="B5" s="2" t="inlineStr">
        <is>
          <t>kV, R(해상도), F(Frame), W(Power), 범프직경 D(자재=26·158µm 2종)</t>
        </is>
      </c>
    </row>
    <row r="6">
      <c r="A6" t="inlineStr">
        <is>
          <t>종속변수(측정 응답)</t>
        </is>
      </c>
      <c r="B6" s="2" t="inlineStr">
        <is>
          <t>① 측정직경/도면=Q_dia  ② void 면적%  ③ void% 반복 σ(재현성)  ④ 매칭 성공(검출 성립)</t>
        </is>
      </c>
    </row>
    <row r="8">
      <c r="A8" s="3" t="inlineStr">
        <is>
          <t>■ 각 독립변수가 void 측정에 미치는 메커니즘 (모델의 뼈대)</t>
        </is>
      </c>
    </row>
    <row r="9">
      <c r="A9" s="1" t="inlineStr">
        <is>
          <t>kV</t>
        </is>
      </c>
      <c r="B9" s="2" t="inlineStr">
        <is>
          <t>대비 이동 → threshold 경계 이동 → void 면적이 통째로 커/작게 (계통 bias). 또한 직경 다이얼.</t>
        </is>
      </c>
    </row>
    <row r="10">
      <c r="A10" s="1" t="inlineStr">
        <is>
          <t>R</t>
        </is>
      </c>
      <c r="B10" s="2" t="inlineStr">
        <is>
          <t>픽셀화(이산화) 오차 = 2/N (N=void지름/R 픽셀수). 계통. shot당 범프수·검사시간도 ∝R².</t>
        </is>
      </c>
    </row>
    <row r="11">
      <c r="A11" s="1" t="inlineStr">
        <is>
          <t>W</t>
        </is>
      </c>
      <c r="B11" s="2" t="inlineStr">
        <is>
          <t>두꺼운 범프 내부 광자부족 → 노이즈 void·경계 흔들림. 얇은 범프는 둔감.</t>
        </is>
      </c>
    </row>
    <row r="12">
      <c r="A12" s="1" t="inlineStr">
        <is>
          <t>F</t>
        </is>
      </c>
      <c r="B12" s="2" t="inlineStr">
        <is>
          <t>랜덤 노이즈 평균화(∝1/√F) → 반복 재현성 σ. 시간 정비례.</t>
        </is>
      </c>
    </row>
    <row r="14">
      <c r="A14" s="3" t="inlineStr">
        <is>
          <t>■ 왜 한 변수씩(OFAT) 만으로는 안 되나 + 설계 방식</t>
        </is>
      </c>
    </row>
    <row r="15">
      <c r="A15" s="2" t="inlineStr">
        <is>
          <t>교호작용(kV×R, W×F, 각×D)이 있어 한 변수씩만 바꾸면 모델을 못 세운다. 그러나 5변수 완전요인(2⁵=32~)은 과다. → 메커니즘 사전지식으로 [주효과는 각 변수 스윕 + 의심되는 교호작용만 2×2 교차]. 나머지 분리 가정은 '확인' 단계에서 검증.</t>
        </is>
      </c>
    </row>
    <row r="16"/>
    <row r="18">
      <c r="A18" s="4" t="inlineStr">
        <is>
          <t>■ Ground Truth 없이 void를 다루는 법 (자기참조 + 재현성)</t>
        </is>
      </c>
    </row>
    <row r="19">
      <c r="A19" s="2" t="inlineStr">
        <is>
          <t>진짜 void인지 사람이 확인한 데이터가 없으므로 '절대 정확도'는 검증 불가(단면검사 영역). 대신: ①자기참조 — 가장 정밀한 설정(N≥58·F64·kV*)의 측정값을 '기준(gold)'으로 삼아 거친/빠른 설정의 편차를 잰다. ②재현성 σ — 같은 범프 ≥3회로 '진짜=안정 / 노이즈=깜빡임'. 매칭 성공은 장비가 자동 로그하므로 GT 불필요(기하 등록 성공 여부).</t>
        </is>
      </c>
    </row>
    <row r="20"/>
    <row r="21"/>
    <row r="23">
      <c r="A23" s="3" t="inlineStr">
        <is>
          <t>■ 면적오차 허용치 ε = 10% (검토 승인됨)</t>
        </is>
      </c>
    </row>
    <row r="24">
      <c r="A24" s="2" t="inlineStr">
        <is>
          <t>근거: 게이지 능력 규칙(AIAG MSA/ISO 14253) '측정오차 ≤ 공차의 10%=우수'를 단일 임계값 8%에 적용 → 총 측정오차 ±0.8%절대 = threshold에서 ±10%상대. 검출 하한(N≥~10)보다 안전. ε=10%는 [픽셀화 ⊕ 노이즈]가 나눠 쓰는 총예산(제곱합): (2/N)²+(2σ)² ≤ 10² → 배분 N_target≈29, void%σ ≤ ~3.5%.</t>
        </is>
      </c>
    </row>
    <row r="25"/>
    <row r="26"/>
    <row r="28">
      <c r="A28" s="2" t="inlineStr">
        <is>
          <t>※ 한계: 자재가 2종뿐이라 D축은 2점 직선(보간 가능, 외삽·곡률은 3번째 자재 필요). kV가 D에 거의 평평하고 R=D√p/N이 D를 흡수해 부분 보완됨.</t>
        </is>
      </c>
    </row>
    <row r="29"/>
  </sheetData>
  <mergeCells count="11">
    <mergeCell ref="A28:H29"/>
    <mergeCell ref="B9:H9"/>
    <mergeCell ref="A15:H16"/>
    <mergeCell ref="A19:H21"/>
    <mergeCell ref="A2:H2"/>
    <mergeCell ref="B12:H12"/>
    <mergeCell ref="A24:H26"/>
    <mergeCell ref="B6:H6"/>
    <mergeCell ref="B10:H10"/>
    <mergeCell ref="B11:H1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1" customWidth="1" min="11" max="11"/>
    <col width="9" customWidth="1" min="12" max="12"/>
    <col width="10" customWidth="1" min="13" max="13"/>
    <col width="13" customWidth="1" min="14" max="14"/>
    <col width="13" customWidth="1" min="15" max="15"/>
    <col width="10" customWidth="1" min="16" max="16"/>
    <col width="8" customWidth="1" min="17" max="17"/>
    <col width="28" customWidth="1" min="18" max="18"/>
  </cols>
  <sheetData>
    <row r="1">
      <c r="A1" s="1" t="inlineStr">
        <is>
          <t>주효과_kV·R</t>
        </is>
      </c>
    </row>
    <row r="2">
      <c r="A2" s="5" t="inlineStr">
        <is>
          <t>직경 다이얼(kV)과 void 픽셀화(R)를 각 자재에서 스윕. R=최소(N≥58)인 행이 그 범프의 '기준(gold)'이 되어 N열에 옮겨 적는다. 고정: kV스윕은 gold R·F32·W4 / R스윕은 kV*·F32·W4.</t>
        </is>
      </c>
    </row>
    <row r="4">
      <c r="A4" s="6" t="inlineStr">
        <is>
          <t>Run</t>
        </is>
      </c>
      <c r="B4" s="6" t="inlineStr">
        <is>
          <t>자재</t>
        </is>
      </c>
      <c r="C4" s="6" t="inlineStr">
        <is>
          <t>D(µm)</t>
        </is>
      </c>
      <c r="D4" s="6" t="inlineStr">
        <is>
          <t>kV</t>
        </is>
      </c>
      <c r="E4" s="6" t="inlineStr">
        <is>
          <t>R(µm/px)</t>
        </is>
      </c>
      <c r="F4" s="6" t="inlineStr">
        <is>
          <t>N(자동)</t>
        </is>
      </c>
      <c r="G4" s="6" t="inlineStr">
        <is>
          <t>F</t>
        </is>
      </c>
      <c r="H4" s="6" t="inlineStr">
        <is>
          <t>W</t>
        </is>
      </c>
      <c r="I4" s="6" t="inlineStr">
        <is>
          <t>반복#</t>
        </is>
      </c>
      <c r="J4" s="6" t="inlineStr">
        <is>
          <t>측정직경(µm)</t>
        </is>
      </c>
      <c r="K4" s="6" t="inlineStr">
        <is>
          <t>Q_dia(자동)</t>
        </is>
      </c>
      <c r="L4" s="6" t="inlineStr">
        <is>
          <t>매칭(Y/N)</t>
        </is>
      </c>
      <c r="M4" s="6" t="inlineStr">
        <is>
          <t>void면적%</t>
        </is>
      </c>
      <c r="N4" s="6" t="inlineStr">
        <is>
          <t>기준gold void%</t>
        </is>
      </c>
      <c r="O4" s="6" t="inlineStr">
        <is>
          <t>void편차%(자동)</t>
        </is>
      </c>
      <c r="P4" s="6" t="inlineStr">
        <is>
          <t>판정(자동)</t>
        </is>
      </c>
      <c r="Q4" s="6" t="inlineStr">
        <is>
          <t>tact(초)</t>
        </is>
      </c>
      <c r="R4" s="6" t="inlineStr">
        <is>
          <t>메모</t>
        </is>
      </c>
    </row>
    <row r="5">
      <c r="A5" t="inlineStr">
        <is>
          <t>kV-1</t>
        </is>
      </c>
      <c r="B5" t="inlineStr">
        <is>
          <t>26µm</t>
        </is>
      </c>
      <c r="C5" t="n">
        <v>26</v>
      </c>
      <c r="D5" t="n">
        <v>55.5</v>
      </c>
      <c r="E5" t="n">
        <v>0.13</v>
      </c>
      <c r="F5">
        <f>IFERROR(ROUND(C5*0.2828/E5,0),"")</f>
        <v/>
      </c>
      <c r="G5" t="n">
        <v>32</v>
      </c>
      <c r="H5" t="n">
        <v>4</v>
      </c>
      <c r="I5" t="n">
        <v>1</v>
      </c>
      <c r="K5">
        <f>IFERROR(J5/C5,"")</f>
        <v/>
      </c>
      <c r="O5">
        <f>IFERROR((M5-N5)/N5,"")</f>
        <v/>
      </c>
      <c r="P5">
        <f>IF(J5="","",IF(AND(L5="Y",K5&gt;=0.97,K5&lt;=1.03,IFERROR(ABS(O5)&lt;=0.1,FALSE)),"PASS","FAIL"))</f>
        <v/>
      </c>
      <c r="R5" t="inlineStr">
        <is>
          <t>kV* 검증(직경100% 지점)</t>
        </is>
      </c>
    </row>
    <row r="6">
      <c r="A6" t="inlineStr">
        <is>
          <t>kV2</t>
        </is>
      </c>
      <c r="B6" t="inlineStr">
        <is>
          <t>26µm</t>
        </is>
      </c>
      <c r="C6" t="n">
        <v>26</v>
      </c>
      <c r="D6" t="n">
        <v>57.5</v>
      </c>
      <c r="E6" t="n">
        <v>0.13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kV* 검증(직경100% 지점)</t>
        </is>
      </c>
    </row>
    <row r="7">
      <c r="A7" t="inlineStr">
        <is>
          <t>kV3</t>
        </is>
      </c>
      <c r="B7" t="inlineStr">
        <is>
          <t>26µm</t>
        </is>
      </c>
      <c r="C7" t="n">
        <v>26</v>
      </c>
      <c r="D7" t="n">
        <v>59.5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kV* 검증(직경100% 지점)</t>
        </is>
      </c>
    </row>
    <row r="8">
      <c r="A8" t="inlineStr">
        <is>
          <t>kV4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검증</t>
        </is>
      </c>
    </row>
    <row r="9">
      <c r="A9" t="inlineStr">
        <is>
          <t>kV5</t>
        </is>
      </c>
      <c r="B9" t="inlineStr">
        <is>
          <t>158µm</t>
        </is>
      </c>
      <c r="C9" t="n">
        <v>158</v>
      </c>
      <c r="D9" t="n">
        <v>60.5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검증</t>
        </is>
      </c>
    </row>
    <row r="10">
      <c r="A10" t="inlineStr">
        <is>
          <t>kV6</t>
        </is>
      </c>
      <c r="B10" t="inlineStr">
        <is>
          <t>158µm</t>
        </is>
      </c>
      <c r="C10" t="n">
        <v>158</v>
      </c>
      <c r="D10" t="n">
        <v>62.5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검증</t>
        </is>
      </c>
    </row>
    <row r="11">
      <c r="A11" t="inlineStr">
        <is>
          <t>R1</t>
        </is>
      </c>
      <c r="B11" t="inlineStr">
        <is>
          <t>26µm</t>
        </is>
      </c>
      <c r="C11" t="n">
        <v>26</v>
      </c>
      <c r="D11" t="n">
        <v>57.5</v>
      </c>
      <c r="E11" t="n">
        <v>0.13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N=58 (58=gold 기준)</t>
        </is>
      </c>
    </row>
    <row r="12">
      <c r="A12" t="inlineStr">
        <is>
          <t>R2</t>
        </is>
      </c>
      <c r="B12" t="inlineStr">
        <is>
          <t>26µm</t>
        </is>
      </c>
      <c r="C12" t="n">
        <v>26</v>
      </c>
      <c r="D12" t="n">
        <v>57.5</v>
      </c>
      <c r="E12" t="n">
        <v>0.25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N=29 (58=gold 기준)</t>
        </is>
      </c>
    </row>
    <row r="13">
      <c r="A13" t="inlineStr">
        <is>
          <t>R3</t>
        </is>
      </c>
      <c r="B13" t="inlineStr">
        <is>
          <t>26µm</t>
        </is>
      </c>
      <c r="C13" t="n">
        <v>26</v>
      </c>
      <c r="D13" t="n">
        <v>57.5</v>
      </c>
      <c r="E13" t="n">
        <v>0.53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N=14 (58=gold 기준)</t>
        </is>
      </c>
    </row>
    <row r="14">
      <c r="A14" t="inlineStr">
        <is>
          <t>R4</t>
        </is>
      </c>
      <c r="B14" t="inlineStr">
        <is>
          <t>158µm</t>
        </is>
      </c>
      <c r="C14" t="n">
        <v>158</v>
      </c>
      <c r="D14" t="n">
        <v>60.5</v>
      </c>
      <c r="E14" t="n">
        <v>0.77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N=58 (58=gold 기준)</t>
        </is>
      </c>
    </row>
    <row r="15">
      <c r="A15" t="inlineStr">
        <is>
          <t>R5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N=29 (58=gold 기준)</t>
        </is>
      </c>
    </row>
    <row r="16">
      <c r="A16" t="inlineStr">
        <is>
          <t>R6</t>
        </is>
      </c>
      <c r="B16" t="inlineStr">
        <is>
          <t>158µm</t>
        </is>
      </c>
      <c r="C16" t="n">
        <v>158</v>
      </c>
      <c r="D16" t="n">
        <v>60.5</v>
      </c>
      <c r="E16" t="n">
        <v>3.19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N=14 (58=gold 기준)</t>
        </is>
      </c>
    </row>
  </sheetData>
  <mergeCells count="1"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1" customWidth="1" min="11" max="11"/>
    <col width="9" customWidth="1" min="12" max="12"/>
    <col width="10" customWidth="1" min="13" max="13"/>
    <col width="13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</cols>
  <sheetData>
    <row r="1">
      <c r="A1" s="1" t="inlineStr">
        <is>
          <t>재현성_F·W</t>
        </is>
      </c>
    </row>
    <row r="2">
      <c r="A2" s="5" t="inlineStr">
        <is>
          <t>같은 범프 ≥3회 반복 → void% 반복편차 σ. F(랜덤노이즈 평균화)와 W(두꺼운범프 내부SNR)의 재현성 효과. 고정: kV*·R(N29). 26µm은 F스윕(W4고정), 158µm은 W스윕(F32). σ_rel은 각 3반복 그룹 첫 행에 자동계산.</t>
        </is>
      </c>
    </row>
    <row r="4">
      <c r="A4" s="6" t="inlineStr">
        <is>
          <t>Run</t>
        </is>
      </c>
      <c r="B4" s="6" t="inlineStr">
        <is>
          <t>자재</t>
        </is>
      </c>
      <c r="C4" s="6" t="inlineStr">
        <is>
          <t>D(µm)</t>
        </is>
      </c>
      <c r="D4" s="6" t="inlineStr">
        <is>
          <t>kV</t>
        </is>
      </c>
      <c r="E4" s="6" t="inlineStr">
        <is>
          <t>R(µm/px)</t>
        </is>
      </c>
      <c r="F4" s="6" t="inlineStr">
        <is>
          <t>N(자동)</t>
        </is>
      </c>
      <c r="G4" s="6" t="inlineStr">
        <is>
          <t>F</t>
        </is>
      </c>
      <c r="H4" s="6" t="inlineStr">
        <is>
          <t>W</t>
        </is>
      </c>
      <c r="I4" s="6" t="inlineStr">
        <is>
          <t>반복#</t>
        </is>
      </c>
      <c r="J4" s="6" t="inlineStr">
        <is>
          <t>측정직경(µm)</t>
        </is>
      </c>
      <c r="K4" s="6" t="inlineStr">
        <is>
          <t>Q_dia(자동)</t>
        </is>
      </c>
      <c r="L4" s="6" t="inlineStr">
        <is>
          <t>매칭(Y/N)</t>
        </is>
      </c>
      <c r="M4" s="6" t="inlineStr">
        <is>
          <t>void면적%</t>
        </is>
      </c>
      <c r="N4" s="6" t="inlineStr">
        <is>
          <t>기준gold void%</t>
        </is>
      </c>
      <c r="O4" s="6" t="inlineStr">
        <is>
          <t>void편차%(자동)</t>
        </is>
      </c>
      <c r="P4" s="6" t="inlineStr">
        <is>
          <t>판정(자동)</t>
        </is>
      </c>
      <c r="Q4" s="6" t="inlineStr">
        <is>
          <t>tact(초)</t>
        </is>
      </c>
      <c r="R4" s="6" t="inlineStr">
        <is>
          <t>메모</t>
        </is>
      </c>
      <c r="S4" s="6" t="inlineStr">
        <is>
          <t>void%σ_rel(자동)</t>
        </is>
      </c>
    </row>
    <row r="5">
      <c r="A5" t="inlineStr">
        <is>
          <t>F16</t>
        </is>
      </c>
      <c r="B5" t="inlineStr">
        <is>
          <t>26µm</t>
        </is>
      </c>
      <c r="C5" t="n">
        <v>26</v>
      </c>
      <c r="D5" t="n">
        <v>57.5</v>
      </c>
      <c r="E5" t="n">
        <v>0.25</v>
      </c>
      <c r="F5">
        <f>IFERROR(ROUND(C5*0.2828/E5,0),"")</f>
        <v/>
      </c>
      <c r="G5" t="n">
        <v>16</v>
      </c>
      <c r="H5" t="n">
        <v>4</v>
      </c>
      <c r="I5" t="n">
        <v>1</v>
      </c>
      <c r="K5">
        <f>IFERROR(J5/C5,"")</f>
        <v/>
      </c>
      <c r="O5">
        <f>IFERROR((M5-N5)/N5,"")</f>
        <v/>
      </c>
      <c r="P5">
        <f>IF(J5="","",IF(AND(L5="Y",K5&gt;=0.97,K5&lt;=1.03,IFERROR(ABS(O5)&lt;=0.1,FALSE)),"PASS","FAIL"))</f>
        <v/>
      </c>
      <c r="R5" t="inlineStr">
        <is>
          <t>F=16 재현성</t>
        </is>
      </c>
      <c r="S5">
        <f>IFERROR(STDEV(M5:M7)/AVERAGE(M5:M7),"")</f>
        <v/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16</v>
      </c>
      <c r="H6" t="n">
        <v>4</v>
      </c>
      <c r="I6" t="n">
        <v>2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/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16</v>
      </c>
      <c r="H7" t="n">
        <v>4</v>
      </c>
      <c r="I7" t="n">
        <v>3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F=32 재현성</t>
        </is>
      </c>
      <c r="S8">
        <f>IFERROR(STDEV(M8:M10)/AVERAGE(M8:M10),"")</f>
        <v/>
      </c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32</v>
      </c>
      <c r="H10" t="n">
        <v>4</v>
      </c>
      <c r="I10" t="n">
        <v>3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64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F=64 재현성</t>
        </is>
      </c>
      <c r="S11">
        <f>IFERROR(STDEV(M11:M13)/AVERAGE(M11:M13),"")</f>
        <v/>
      </c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0.25</v>
      </c>
      <c r="F12">
        <f>IFERROR(ROUND(C12*0.2828/E12,0),"")</f>
        <v/>
      </c>
      <c r="G12" t="n">
        <v>64</v>
      </c>
      <c r="H12" t="n">
        <v>4</v>
      </c>
      <c r="I12" t="n">
        <v>2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/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64</v>
      </c>
      <c r="H13" t="n">
        <v>4</v>
      </c>
      <c r="I13" t="n">
        <v>3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W3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32</v>
      </c>
      <c r="H14" t="n">
        <v>3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W=3 재현성·깜빡임</t>
        </is>
      </c>
      <c r="S14">
        <f>IFERROR(STDEV(M14:M16)/AVERAGE(M14:M16),"")</f>
        <v/>
      </c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3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3</v>
      </c>
      <c r="I16" t="n">
        <v>3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W4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W=4 재현성·깜빡임</t>
        </is>
      </c>
      <c r="S17">
        <f>IFERROR(STDEV(M17:M19)/AVERAGE(M17:M19),"")</f>
        <v/>
      </c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1.54</v>
      </c>
      <c r="F18">
        <f>IFERROR(ROUND(C18*0.2828/E18,0),"")</f>
        <v/>
      </c>
      <c r="G18" t="n">
        <v>32</v>
      </c>
      <c r="H18" t="n">
        <v>4</v>
      </c>
      <c r="I18" t="n">
        <v>2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/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1.54</v>
      </c>
      <c r="F19">
        <f>IFERROR(ROUND(C19*0.2828/E19,0),"")</f>
        <v/>
      </c>
      <c r="G19" t="n">
        <v>32</v>
      </c>
      <c r="H19" t="n">
        <v>4</v>
      </c>
      <c r="I19" t="n">
        <v>3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W5</t>
        </is>
      </c>
      <c r="B20" t="inlineStr">
        <is>
          <t>158µm</t>
        </is>
      </c>
      <c r="C20" t="n">
        <v>158</v>
      </c>
      <c r="D20" t="n">
        <v>60.5</v>
      </c>
      <c r="E20" t="n">
        <v>1.54</v>
      </c>
      <c r="F20">
        <f>IFERROR(ROUND(C20*0.2828/E20,0),"")</f>
        <v/>
      </c>
      <c r="G20" t="n">
        <v>32</v>
      </c>
      <c r="H20" t="n">
        <v>5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W=5 재현성·깜빡임</t>
        </is>
      </c>
      <c r="S20">
        <f>IFERROR(STDEV(M20:M22)/AVERAGE(M20:M22),"")</f>
        <v/>
      </c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1.54</v>
      </c>
      <c r="F21">
        <f>IFERROR(ROUND(C21*0.2828/E21,0),"")</f>
        <v/>
      </c>
      <c r="G21" t="n">
        <v>32</v>
      </c>
      <c r="H21" t="n">
        <v>5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1.54</v>
      </c>
      <c r="F22">
        <f>IFERROR(ROUND(C22*0.2828/E22,0),"")</f>
        <v/>
      </c>
      <c r="G22" t="n">
        <v>32</v>
      </c>
      <c r="H22" t="n">
        <v>5</v>
      </c>
      <c r="I22" t="n">
        <v>3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W6</t>
        </is>
      </c>
      <c r="B23" t="inlineStr">
        <is>
          <t>158µm</t>
        </is>
      </c>
      <c r="C23" t="n">
        <v>158</v>
      </c>
      <c r="D23" t="n">
        <v>60.5</v>
      </c>
      <c r="E23" t="n">
        <v>1.54</v>
      </c>
      <c r="F23">
        <f>IFERROR(ROUND(C23*0.2828/E23,0),"")</f>
        <v/>
      </c>
      <c r="G23" t="n">
        <v>32</v>
      </c>
      <c r="H23" t="n">
        <v>6</v>
      </c>
      <c r="I23" t="n">
        <v>1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>
        <is>
          <t>W=6 재현성·깜빡임</t>
        </is>
      </c>
      <c r="S23">
        <f>IFERROR(STDEV(M23:M25)/AVERAGE(M23:M25),"")</f>
        <v/>
      </c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1.54</v>
      </c>
      <c r="F24">
        <f>IFERROR(ROUND(C24*0.2828/E24,0),"")</f>
        <v/>
      </c>
      <c r="G24" t="n">
        <v>32</v>
      </c>
      <c r="H24" t="n">
        <v>6</v>
      </c>
      <c r="I24" t="n">
        <v>2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/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1.54</v>
      </c>
      <c r="F25">
        <f>IFERROR(ROUND(C25*0.2828/E25,0),"")</f>
        <v/>
      </c>
      <c r="G25" t="n">
        <v>32</v>
      </c>
      <c r="H25" t="n">
        <v>6</v>
      </c>
      <c r="I25" t="n">
        <v>3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</sheetData>
  <mergeCells count="1"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1" customWidth="1" min="11" max="11"/>
    <col width="9" customWidth="1" min="12" max="12"/>
    <col width="10" customWidth="1" min="13" max="13"/>
    <col width="13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</cols>
  <sheetData>
    <row r="1">
      <c r="A1" s="1" t="inlineStr">
        <is>
          <t>교호작용</t>
        </is>
      </c>
    </row>
    <row r="2">
      <c r="A2" s="5" t="inlineStr">
        <is>
          <t>의심되는 교호작용만 2×2 교차(각 2반복). kV×R: 대비bias가 픽셀화와 상호작용? (26µm) / W×F: SNR∝√(W·F) 교환 — 높은 W로 F를 줄여 같은 품질? (158µm). ×D는 두 자재 모두 돌려 확인.</t>
        </is>
      </c>
    </row>
    <row r="4">
      <c r="A4" s="6" t="inlineStr">
        <is>
          <t>Run</t>
        </is>
      </c>
      <c r="B4" s="6" t="inlineStr">
        <is>
          <t>자재</t>
        </is>
      </c>
      <c r="C4" s="6" t="inlineStr">
        <is>
          <t>D(µm)</t>
        </is>
      </c>
      <c r="D4" s="6" t="inlineStr">
        <is>
          <t>kV</t>
        </is>
      </c>
      <c r="E4" s="6" t="inlineStr">
        <is>
          <t>R(µm/px)</t>
        </is>
      </c>
      <c r="F4" s="6" t="inlineStr">
        <is>
          <t>N(자동)</t>
        </is>
      </c>
      <c r="G4" s="6" t="inlineStr">
        <is>
          <t>F</t>
        </is>
      </c>
      <c r="H4" s="6" t="inlineStr">
        <is>
          <t>W</t>
        </is>
      </c>
      <c r="I4" s="6" t="inlineStr">
        <is>
          <t>반복#</t>
        </is>
      </c>
      <c r="J4" s="6" t="inlineStr">
        <is>
          <t>측정직경(µm)</t>
        </is>
      </c>
      <c r="K4" s="6" t="inlineStr">
        <is>
          <t>Q_dia(자동)</t>
        </is>
      </c>
      <c r="L4" s="6" t="inlineStr">
        <is>
          <t>매칭(Y/N)</t>
        </is>
      </c>
      <c r="M4" s="6" t="inlineStr">
        <is>
          <t>void면적%</t>
        </is>
      </c>
      <c r="N4" s="6" t="inlineStr">
        <is>
          <t>기준gold void%</t>
        </is>
      </c>
      <c r="O4" s="6" t="inlineStr">
        <is>
          <t>void편차%(자동)</t>
        </is>
      </c>
      <c r="P4" s="6" t="inlineStr">
        <is>
          <t>판정(자동)</t>
        </is>
      </c>
      <c r="Q4" s="6" t="inlineStr">
        <is>
          <t>tact(초)</t>
        </is>
      </c>
      <c r="R4" s="6" t="inlineStr">
        <is>
          <t>메모</t>
        </is>
      </c>
      <c r="S4" s="6" t="inlineStr">
        <is>
          <t>void%σ_rel(자동)</t>
        </is>
      </c>
    </row>
    <row r="5">
      <c r="A5" t="inlineStr">
        <is>
          <t>KR</t>
        </is>
      </c>
      <c r="B5" t="inlineStr">
        <is>
          <t>26µm</t>
        </is>
      </c>
      <c r="C5" t="n">
        <v>26</v>
      </c>
      <c r="D5" t="n">
        <v>55.5</v>
      </c>
      <c r="E5" t="n">
        <v>0.53</v>
      </c>
      <c r="F5">
        <f>IFERROR(ROUND(C5*0.2828/E5,0),"")</f>
        <v/>
      </c>
      <c r="G5" t="n">
        <v>32</v>
      </c>
      <c r="H5" t="n">
        <v>4</v>
      </c>
      <c r="I5" t="n">
        <v>1</v>
      </c>
      <c r="K5">
        <f>IFERROR(J5/C5,"")</f>
        <v/>
      </c>
      <c r="O5">
        <f>IFERROR((M5-N5)/N5,"")</f>
        <v/>
      </c>
      <c r="P5">
        <f>IF(J5="","",IF(AND(L5="Y",K5&gt;=0.97,K5&lt;=1.03,IFERROR(ABS(O5)&lt;=0.1,FALSE)),"PASS","FAIL"))</f>
        <v/>
      </c>
      <c r="R5" t="inlineStr">
        <is>
          <t>kV55.5×N14</t>
        </is>
      </c>
      <c r="S5">
        <f>IFERROR(STDEV(M5:M6)/AVERAGE(M5:M6),"")</f>
        <v/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0.53</v>
      </c>
      <c r="F6">
        <f>IFERROR(ROUND(C6*0.2828/E6,0),"")</f>
        <v/>
      </c>
      <c r="G6" t="n">
        <v>32</v>
      </c>
      <c r="H6" t="n">
        <v>4</v>
      </c>
      <c r="I6" t="n">
        <v>2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/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kV55.5×N58</t>
        </is>
      </c>
      <c r="S7">
        <f>IFERROR(STDEV(M7:M8)/AVERAGE(M7:M8),"")</f>
        <v/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0.13</v>
      </c>
      <c r="F8">
        <f>IFERROR(ROUND(C8*0.2828/E8,0),"")</f>
        <v/>
      </c>
      <c r="G8" t="n">
        <v>32</v>
      </c>
      <c r="H8" t="n">
        <v>4</v>
      </c>
      <c r="I8" t="n">
        <v>2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0.53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kV59.5×N14</t>
        </is>
      </c>
      <c r="S9">
        <f>IFERROR(STDEV(M9:M10)/AVERAGE(M9:M10),"")</f>
        <v/>
      </c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0.53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0.13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kV59.5×N58</t>
        </is>
      </c>
      <c r="S11">
        <f>IFERROR(STDEV(M11:M12)/AVERAGE(M11:M12),"")</f>
        <v/>
      </c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0.13</v>
      </c>
      <c r="F12">
        <f>IFERROR(ROUND(C12*0.2828/E12,0),"")</f>
        <v/>
      </c>
      <c r="G12" t="n">
        <v>32</v>
      </c>
      <c r="H12" t="n">
        <v>4</v>
      </c>
      <c r="I12" t="n">
        <v>2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/>
    </row>
    <row r="13">
      <c r="A13" t="inlineStr">
        <is>
          <t>WF</t>
        </is>
      </c>
      <c r="B13" t="inlineStr">
        <is>
          <t>158µm</t>
        </is>
      </c>
      <c r="C13" t="n">
        <v>158</v>
      </c>
      <c r="D13" t="n">
        <v>60.5</v>
      </c>
      <c r="E13" t="n">
        <v>1.54</v>
      </c>
      <c r="F13">
        <f>IFERROR(ROUND(C13*0.2828/E13,0),"")</f>
        <v/>
      </c>
      <c r="G13" t="n">
        <v>16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W4×F16</t>
        </is>
      </c>
      <c r="S13">
        <f>IFERROR(STDEV(M13:M14)/AVERAGE(M13:M14),"")</f>
        <v/>
      </c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16</v>
      </c>
      <c r="H14" t="n">
        <v>4</v>
      </c>
      <c r="I14" t="n">
        <v>2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W4×F32</t>
        </is>
      </c>
      <c r="S15">
        <f>IFERROR(STDEV(M15:M16)/AVERAGE(M15:M16),"")</f>
        <v/>
      </c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4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16</v>
      </c>
      <c r="H17" t="n">
        <v>6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W6×F16</t>
        </is>
      </c>
      <c r="S17">
        <f>IFERROR(STDEV(M17:M18)/AVERAGE(M17:M18),"")</f>
        <v/>
      </c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1.54</v>
      </c>
      <c r="F18">
        <f>IFERROR(ROUND(C18*0.2828/E18,0),"")</f>
        <v/>
      </c>
      <c r="G18" t="n">
        <v>16</v>
      </c>
      <c r="H18" t="n">
        <v>6</v>
      </c>
      <c r="I18" t="n">
        <v>2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/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1.54</v>
      </c>
      <c r="F19">
        <f>IFERROR(ROUND(C19*0.2828/E19,0),"")</f>
        <v/>
      </c>
      <c r="G19" t="n">
        <v>32</v>
      </c>
      <c r="H19" t="n">
        <v>6</v>
      </c>
      <c r="I19" t="n">
        <v>1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>
        <is>
          <t>W6×F32</t>
        </is>
      </c>
      <c r="S19">
        <f>IFERROR(STDEV(M19:M20)/AVERAGE(M19:M20),"")</f>
        <v/>
      </c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1.54</v>
      </c>
      <c r="F20">
        <f>IFERROR(ROUND(C20*0.2828/E20,0),"")</f>
        <v/>
      </c>
      <c r="G20" t="n">
        <v>32</v>
      </c>
      <c r="H20" t="n">
        <v>6</v>
      </c>
      <c r="I20" t="n">
        <v>2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</sheetData>
  <mergeCells count="1"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1" customWidth="1" min="11" max="11"/>
    <col width="9" customWidth="1" min="12" max="12"/>
    <col width="10" customWidth="1" min="13" max="13"/>
    <col width="13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</cols>
  <sheetData>
    <row r="1">
      <c r="A1" s="1" t="inlineStr">
        <is>
          <t>확인</t>
        </is>
      </c>
    </row>
    <row r="2">
      <c r="A2" s="5" t="inlineStr">
        <is>
          <t>모델이 D→(kV,R,F,W) 산출한 값으로 각 자재 ×3반복. 합격: 매칭=Y &amp; Q_dia 97~103% &amp; |void편차|≤10% &amp; void%σ≤3.5% &amp; tact 최소. 분리 가정(교호작용 무시분)도 여기서 최종 검증.</t>
        </is>
      </c>
    </row>
    <row r="4">
      <c r="A4" s="6" t="inlineStr">
        <is>
          <t>Run</t>
        </is>
      </c>
      <c r="B4" s="6" t="inlineStr">
        <is>
          <t>자재</t>
        </is>
      </c>
      <c r="C4" s="6" t="inlineStr">
        <is>
          <t>D(µm)</t>
        </is>
      </c>
      <c r="D4" s="6" t="inlineStr">
        <is>
          <t>kV</t>
        </is>
      </c>
      <c r="E4" s="6" t="inlineStr">
        <is>
          <t>R(µm/px)</t>
        </is>
      </c>
      <c r="F4" s="6" t="inlineStr">
        <is>
          <t>N(자동)</t>
        </is>
      </c>
      <c r="G4" s="6" t="inlineStr">
        <is>
          <t>F</t>
        </is>
      </c>
      <c r="H4" s="6" t="inlineStr">
        <is>
          <t>W</t>
        </is>
      </c>
      <c r="I4" s="6" t="inlineStr">
        <is>
          <t>반복#</t>
        </is>
      </c>
      <c r="J4" s="6" t="inlineStr">
        <is>
          <t>측정직경(µm)</t>
        </is>
      </c>
      <c r="K4" s="6" t="inlineStr">
        <is>
          <t>Q_dia(자동)</t>
        </is>
      </c>
      <c r="L4" s="6" t="inlineStr">
        <is>
          <t>매칭(Y/N)</t>
        </is>
      </c>
      <c r="M4" s="6" t="inlineStr">
        <is>
          <t>void면적%</t>
        </is>
      </c>
      <c r="N4" s="6" t="inlineStr">
        <is>
          <t>기준gold void%</t>
        </is>
      </c>
      <c r="O4" s="6" t="inlineStr">
        <is>
          <t>void편차%(자동)</t>
        </is>
      </c>
      <c r="P4" s="6" t="inlineStr">
        <is>
          <t>판정(자동)</t>
        </is>
      </c>
      <c r="Q4" s="6" t="inlineStr">
        <is>
          <t>tact(초)</t>
        </is>
      </c>
      <c r="R4" s="6" t="inlineStr">
        <is>
          <t>메모</t>
        </is>
      </c>
      <c r="S4" s="6" t="inlineStr">
        <is>
          <t>void%σ_rel(자동)</t>
        </is>
      </c>
    </row>
    <row r="5">
      <c r="A5" t="inlineStr">
        <is>
          <t>C-26µ</t>
        </is>
      </c>
      <c r="B5" t="inlineStr">
        <is>
          <t>26µm</t>
        </is>
      </c>
      <c r="C5" t="n">
        <v>26</v>
      </c>
      <c r="D5" t="inlineStr">
        <is>
          <t>(모델kV*)</t>
        </is>
      </c>
      <c r="E5" t="inlineStr">
        <is>
          <t>(모델R)</t>
        </is>
      </c>
      <c r="F5">
        <f>IFERROR(ROUND(C5*0.2828/E5,0),"")</f>
        <v/>
      </c>
      <c r="G5" t="n">
        <v>32</v>
      </c>
      <c r="H5" t="inlineStr">
        <is>
          <t>(모델W)</t>
        </is>
      </c>
      <c r="I5" t="n">
        <v>1</v>
      </c>
      <c r="K5">
        <f>IFERROR(J5/C5,"")</f>
        <v/>
      </c>
      <c r="O5">
        <f>IFERROR((M5-N5)/N5,"")</f>
        <v/>
      </c>
      <c r="P5">
        <f>IF(J5="","",IF(AND(L5="Y",K5&gt;=0.97,K5&lt;=1.03,IFERROR(ABS(O5)&lt;=0.1,FALSE)),"PASS","FAIL"))</f>
        <v/>
      </c>
      <c r="R5" t="inlineStr">
        <is>
          <t>모델 산출값 검증</t>
        </is>
      </c>
      <c r="S5">
        <f>IFERROR(STDEV(M5:M7)/AVERAGE(M5:M7),"")</f>
        <v/>
      </c>
    </row>
    <row r="6">
      <c r="A6" t="inlineStr">
        <is>
          <t>C-26µ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2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/>
    </row>
    <row r="7">
      <c r="A7" t="inlineStr">
        <is>
          <t>C-26µ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3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C-158</t>
        </is>
      </c>
      <c r="B8" t="inlineStr">
        <is>
          <t>158µm</t>
        </is>
      </c>
      <c r="C8" t="n">
        <v>158</v>
      </c>
      <c r="D8" t="inlineStr">
        <is>
          <t>(모델kV*)</t>
        </is>
      </c>
      <c r="E8" t="inlineStr">
        <is>
          <t>(모델R)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모델 산출값 검증</t>
        </is>
      </c>
      <c r="S8">
        <f>IFERROR(STDEV(M8:M10)/AVERAGE(M8:M10),"")</f>
        <v/>
      </c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3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</sheetData>
  <mergeCells count="1"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역설계 모델 — 실험이 채워지면 계수 확정 → D 입력 시 최적 파라미터 산출</t>
        </is>
      </c>
    </row>
    <row r="3">
      <c r="A3" s="3" t="inlineStr">
        <is>
          <t>■ 실험으로 확정할 계수(순전파 모델)</t>
        </is>
      </c>
    </row>
    <row r="4">
      <c r="A4" s="1" t="inlineStr">
        <is>
          <t>kV 직경식</t>
        </is>
      </c>
      <c r="B4" s="2" t="inlineStr">
        <is>
          <t>측정직경/D = 1 + s·(kV−kV0). Phase1 kV스윕으로 s, kV*(=100%지점) 자재별 확정. 크기의존 약함(2점)</t>
        </is>
      </c>
    </row>
    <row r="5">
      <c r="A5" s="1" t="inlineStr">
        <is>
          <t>void bias(kV)</t>
        </is>
      </c>
      <c r="B5" s="2" t="inlineStr">
        <is>
          <t>kV가 void 면적을 통째로 미는 계통오차. kV*에서 최소가 되도록 이미 kV*로 상쇄</t>
        </is>
      </c>
    </row>
    <row r="6">
      <c r="A6" s="1" t="inlineStr">
        <is>
          <t>N_target(R)</t>
        </is>
      </c>
      <c r="B6" s="2" t="inlineStr">
        <is>
          <t>Phase1 R스윕: gold 대비 |편차|가 7%(픽셀화 예산) 넘기 시작하는 N. 이론값 ≈29</t>
        </is>
      </c>
    </row>
    <row r="7">
      <c r="A7" s="1" t="inlineStr">
        <is>
          <t>σ(F)</t>
        </is>
      </c>
      <c r="B7" s="2" t="inlineStr">
        <is>
          <t>Phase2 F스윕: void%σ_rel ≤ 3.5%(노이즈 예산 2σ≤7%) 되는 최소 F</t>
        </is>
      </c>
    </row>
    <row r="8">
      <c r="A8" s="1" t="inlineStr">
        <is>
          <t>W*(두꺼운범프)</t>
        </is>
      </c>
      <c r="B8" s="2" t="inlineStr">
        <is>
          <t>Phase2 W스윕: 깜빡임=0 &amp; σ 최소 &amp; 경계폭(블러) 가드 만족하는 W (얇은범프=4W)</t>
        </is>
      </c>
    </row>
    <row r="9">
      <c r="A9" s="1" t="inlineStr">
        <is>
          <t>교호작용 항</t>
        </is>
      </c>
      <c r="B9" s="2" t="inlineStr">
        <is>
          <t>Phase3: kV×R, W×F 계수. 유의하면 모델에 항 추가, 아니면 분리 가정 유지</t>
        </is>
      </c>
    </row>
    <row r="10">
      <c r="A10" s="1" t="inlineStr">
        <is>
          <t>tact(R,F)</t>
        </is>
      </c>
      <c r="B10" s="2" t="inlineStr">
        <is>
          <t>tact = a·(shot수·F)+b. shot수=ROUNDUP(목표범프/(R²비례 shot당범프))</t>
        </is>
      </c>
    </row>
    <row r="12">
      <c r="A12" s="3" t="inlineStr">
        <is>
          <t>■ 역설계 규칙 (D 입력 → 파라미터 출력)</t>
        </is>
      </c>
    </row>
    <row r="13">
      <c r="A13" s="1" t="inlineStr">
        <is>
          <t>입력</t>
        </is>
      </c>
      <c r="B13" s="2" t="inlineStr">
        <is>
          <t>범프직경 D, void임계 p(=8%), (알면)높이 h</t>
        </is>
      </c>
    </row>
    <row r="14">
      <c r="A14" s="1" t="inlineStr">
        <is>
          <t>1) kV</t>
        </is>
      </c>
      <c r="B14" s="2" t="inlineStr">
        <is>
          <t>kV*(D): 자재별 kV*의 D-직선에서 읽음(거의 평평). 실검사서 1kV씩 트림해 직경100% 확정</t>
        </is>
      </c>
    </row>
    <row r="15">
      <c r="A15" s="1" t="inlineStr">
        <is>
          <t>2) R</t>
        </is>
      </c>
      <c r="B15" s="2" t="inlineStr">
        <is>
          <t>R = D·√p / N_target (N_target=Phase1 확정). 품질 한도 내 가장 거침=가장 빠름</t>
        </is>
      </c>
    </row>
    <row r="16">
      <c r="A16" s="1" t="inlineStr">
        <is>
          <t>3) F</t>
        </is>
      </c>
      <c r="B16" s="2" t="inlineStr">
        <is>
          <t>F = σ(F)식에서 σ_rel ≤3.5% 만족하는 최소 F</t>
        </is>
      </c>
    </row>
    <row r="17">
      <c r="A17" s="1" t="inlineStr">
        <is>
          <t>4) W</t>
        </is>
      </c>
      <c r="B17" s="2" t="inlineStr">
        <is>
          <t>얇으면 4W. 두꺼우면 W*(D). W↑로 F를 낮춰 tact 줄이는 교환도 고려</t>
        </is>
      </c>
    </row>
    <row r="18">
      <c r="A18" s="1" t="inlineStr">
        <is>
          <t>5) 검증</t>
        </is>
      </c>
      <c r="B18" s="2" t="inlineStr">
        <is>
          <t>예상 tact 계산, 합격기준 만족 확인 → 미달 시 해당 변수만 재조정</t>
        </is>
      </c>
    </row>
    <row r="20">
      <c r="A20" s="2" t="inlineStr">
        <is>
          <t>※ 이 시트의 계수가 확정되면 '레시피모델.xlsx'/'파라미터_계산기.xlsx'의 보정계수·N_target에 옮겨 적어 레시피 모델 완성.</t>
        </is>
      </c>
    </row>
    <row r="21"/>
  </sheetData>
  <mergeCells count="14">
    <mergeCell ref="B8:H8"/>
    <mergeCell ref="B14:H14"/>
    <mergeCell ref="B17:H17"/>
    <mergeCell ref="B9:H9"/>
    <mergeCell ref="B13:H13"/>
    <mergeCell ref="B18:H18"/>
    <mergeCell ref="B4:H4"/>
    <mergeCell ref="A20:H21"/>
    <mergeCell ref="B6:H6"/>
    <mergeCell ref="B16:H16"/>
    <mergeCell ref="B15:H15"/>
    <mergeCell ref="B7:H7"/>
    <mergeCell ref="B10:H1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2026-07-05T08:04:28Z</dcterms:created>
  <dcterms:modified xmlns:dcterms="http://purl.org/dc/terms/" xmlns:xsi="http://www.w3.org/2001/XMLSchema-instance" xsi:type="dcterms:W3CDTF">2026-07-05T08:04:28Z</dcterms:modified>
</cp:coreProperties>
</file>