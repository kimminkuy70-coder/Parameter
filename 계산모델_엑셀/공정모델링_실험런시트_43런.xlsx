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[43런 핵심판]</t>
        </is>
      </c>
    </row>
    <row r="2">
      <c r="A2" s="2" t="inlineStr">
        <is>
          <t>대원칙: 정확한 검사결과가 최우선 제약. 시간단축은 '정확도를 지키는 범위 안에서만'(정확도를 시간과 바꾸지 않음).</t>
        </is>
      </c>
    </row>
    <row r="4">
      <c r="A4" s="2" t="inlineStr">
        <is>
          <t>★ 두 종류의 bump diameter: ①PD직경 D(독립·참값·자재고유) ②측정직경(종속·검사결과, 목표 Q_dia=100%)</t>
        </is>
      </c>
    </row>
    <row r="5"/>
    <row r="7">
      <c r="A7" s="2" t="inlineStr">
        <is>
          <t>■ void% 기준 = 측정 bump면적(.csv: Area=π/4·측정직경²). 측정직경=PD(Q_dia100%)일 때만 성립 → kV 먼저.</t>
        </is>
      </c>
    </row>
    <row r="8"/>
    <row r="10">
      <c r="A10" s="3" t="inlineStr">
        <is>
          <t>■ 정확도 = void 총오차 ≤ 10% = √(픽셀화² + 노이즈²) ★</t>
        </is>
      </c>
    </row>
    <row r="11">
      <c r="A11" s="4" t="inlineStr">
        <is>
          <t>· 픽셀화(R): 2/N≤~7% → N_target≈29 · 노이즈(F,W): 2σ≤~7% → σ≤3.5%(F≥32). N=20은 노이즈 더하면 초과=부정확이라 폐기.</t>
        </is>
      </c>
    </row>
    <row r="12"/>
    <row r="14">
      <c r="A14" s="3" t="inlineStr">
        <is>
          <t>■ 정확도 사는 비용 순위: W(시간 공짜) &lt; F(1차) &lt; R(2차) ★핵심</t>
        </is>
      </c>
    </row>
    <row r="15">
      <c r="A15" s="4" t="inlineStr">
        <is>
          <t>SNR∝√(W·F·t), tact∝F/R². W 올리면 SNR↑인데 시간 안 늘어남(F는 프레임수라 시간 정비례, R은 2차). → 노이즈로 경계 흐리면 R 내리는 것보다 F(또는 두꺼운 범프면 W)로 경계 선명히 하는 게 싸고 효과적. 두꺼운 범프: W↑(공짜, 블러 한계까지)로 거친 R 허용. 26µm: R하한(0.2)+F하한(32)이라 F가 지렛대, 시간지렛대는 shot수.</t>
        </is>
      </c>
    </row>
    <row r="16"/>
    <row r="17"/>
    <row r="18"/>
    <row r="19"/>
    <row r="21">
      <c r="A21" s="5" t="inlineStr">
        <is>
          <t>■ 교호작용 설계 (Phase3)</t>
        </is>
      </c>
    </row>
    <row r="22">
      <c r="A22" s="1" t="inlineStr">
        <is>
          <t>R×F(26µm)</t>
        </is>
      </c>
      <c r="B22" s="4" t="inlineStr">
        <is>
          <t>노이즈가 R효과 켜줌. 등시간쌍 (R0.25,F32)=(R0.5,F128)=tact512로 'R vs F' 직접비교</t>
        </is>
      </c>
    </row>
    <row r="23">
      <c r="A23" s="1" t="inlineStr">
        <is>
          <t>R×W(158µm)</t>
        </is>
      </c>
      <c r="B23" s="4" t="inlineStr">
        <is>
          <t>W(공짜)로 거친 R 허용되나. (R3.0,W6)은 (R1.5,W4)보다 ~4배 빠름(W는 tact무관)</t>
        </is>
      </c>
    </row>
    <row r="24">
      <c r="A24" s="1" t="inlineStr">
        <is>
          <t>W×F(158µm)</t>
        </is>
      </c>
      <c r="B24" s="4" t="inlineStr">
        <is>
          <t>SNR∝√(W·F) 노이즈 교환</t>
        </is>
      </c>
    </row>
    <row r="25">
      <c r="A25" s="1" t="inlineStr">
        <is>
          <t>kV×F 가드(26µm)</t>
        </is>
      </c>
      <c r="B25" s="4" t="inlineStr">
        <is>
          <t>가장자리 kV를 고F가 구제하나(매칭 강건성)</t>
        </is>
      </c>
    </row>
    <row r="26">
      <c r="A26" s="1" t="inlineStr">
        <is>
          <t>kV×W 가드(158µm)</t>
        </is>
      </c>
      <c r="B26" s="4" t="inlineStr">
        <is>
          <t>투과 부족 kV에서 W가 소용있나</t>
        </is>
      </c>
    </row>
    <row r="28">
      <c r="A28" s="6" t="inlineStr">
        <is>
          <t>■ 43런이 67런 대비: kV 3→2점·F 32·64·W 4→2점·교호작용 반복/셀 축소. 핵심 골격·전 교호작용 유지.</t>
        </is>
      </c>
    </row>
    <row r="29"/>
  </sheetData>
  <mergeCells count="13">
    <mergeCell ref="B22:H22"/>
    <mergeCell ref="A15:H19"/>
    <mergeCell ref="A4:H5"/>
    <mergeCell ref="A28:H29"/>
    <mergeCell ref="B26:H26"/>
    <mergeCell ref="A7:H8"/>
    <mergeCell ref="A2:H2"/>
    <mergeCell ref="A10:H10"/>
    <mergeCell ref="B24:H24"/>
    <mergeCell ref="A14:H14"/>
    <mergeCell ref="B25:H25"/>
    <mergeCell ref="A11:H12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</cols>
  <sheetData>
    <row r="1">
      <c r="A1" s="1" t="inlineStr">
        <is>
          <t>Phase1_주효과_kV·R</t>
        </is>
      </c>
    </row>
    <row r="2">
      <c r="A2" s="6" t="inlineStr">
        <is>
          <t>직경 다이얼(kV)·void 픽셀화(R). gold=기준 앵커. N_target≈29. 고정 F32·W4.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N≈29 =운영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N≈15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N≈58 =gold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N≈30 =운영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Phase2_재현성_F·W</t>
        </is>
      </c>
    </row>
    <row r="2">
      <c r="A2" s="6" t="inlineStr">
        <is>
          <t>같은 범프 반복→void% σ. 총오차=√(편차²+(2σ)²)≤10%. 26µm=F스윕(R0.25·W4), 158µm=W스윕(R1.5·F32). F≥32.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재현성·총오차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재현성·총오차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  <c r="T12">
        <f>IFERROR(SQRT(((AVERAGE(M12:M14)-N12)/N12)^2+(2*STDEV(M12:M14)/AVERAGE(M12:M14))^2),"")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  <c r="T15">
        <f>IFERROR(SQRT(((AVERAGE(M15:M17)-N15)/N15)^2+(2*STDEV(M15:M17)/AVERAGE(M15:M17))^2),"")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Phase3_교호작용</t>
        </is>
      </c>
    </row>
    <row r="2">
      <c r="A2" s="6" t="inlineStr">
        <is>
          <t>R×F(26µm)·R×W(158µm)·W×F(158µm) 교환 + kV×F·kV×W 가드. tact∝F/R²(W무관). 총오차_rel로 비교.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RF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R0.25×F32 [등시간512]</t>
        </is>
      </c>
      <c r="S6">
        <f>IFERROR(STDEV(M6:M7)/AVERAGE(M6:M7),"")</f>
        <v/>
      </c>
      <c r="T6">
        <f>IFERROR(SQRT(((AVERAGE(M6:M7)-N6)/N6)^2+(2*STDEV(M6:M7)/AVERAGE(M6:M7))^2),"")</f>
        <v/>
      </c>
    </row>
    <row r="7">
      <c r="A7" t="inlineStr">
        <is>
          <t>RF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RF</t>
        </is>
      </c>
      <c r="B8" t="inlineStr">
        <is>
          <t>26µm</t>
        </is>
      </c>
      <c r="C8" t="n">
        <v>26</v>
      </c>
      <c r="D8" t="n">
        <v>57.5</v>
      </c>
      <c r="E8" t="n">
        <v>0.5</v>
      </c>
      <c r="F8">
        <f>IFERROR(ROUND(C8*0.2828/E8,0),"")</f>
        <v/>
      </c>
      <c r="G8" t="n">
        <v>128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R0.5×F128 [등시간512] — F로 회복?</t>
        </is>
      </c>
      <c r="S8">
        <f>IFERROR(STDEV(M8:M9)/AVERAGE(M8:M9),"")</f>
        <v/>
      </c>
      <c r="T8">
        <f>IFERROR(SQRT(((AVERAGE(M8:M9)-N8)/N8)^2+(2*STDEV(M8:M9)/AVERAGE(M8:M9))^2),"")</f>
        <v/>
      </c>
    </row>
    <row r="9">
      <c r="A9" t="inlineStr">
        <is>
          <t>RF</t>
        </is>
      </c>
      <c r="B9" t="inlineStr">
        <is>
          <t>26µm</t>
        </is>
      </c>
      <c r="C9" t="n">
        <v>26</v>
      </c>
      <c r="D9" t="n">
        <v>57.5</v>
      </c>
      <c r="E9" t="n">
        <v>0.5</v>
      </c>
      <c r="F9">
        <f>IFERROR(ROUND(C9*0.2828/E9,0),"")</f>
        <v/>
      </c>
      <c r="G9" t="n">
        <v>128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RW</t>
        </is>
      </c>
      <c r="B10" t="inlineStr">
        <is>
          <t>158µm</t>
        </is>
      </c>
      <c r="C10" t="n">
        <v>158</v>
      </c>
      <c r="D10" t="n">
        <v>60.5</v>
      </c>
      <c r="E10" t="n">
        <v>1.5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R1.5×W4 [기준]</t>
        </is>
      </c>
      <c r="S10">
        <f>IFERROR(STDEV(M10:M11)/AVERAGE(M10:M11),"")</f>
        <v/>
      </c>
      <c r="T10">
        <f>IFERROR(SQRT(((AVERAGE(M10:M11)-N10)/N10)^2+(2*STDEV(M10:M11)/AVERAGE(M10:M11))^2),"")</f>
        <v/>
      </c>
    </row>
    <row r="11">
      <c r="A11" t="inlineStr">
        <is>
          <t>RW</t>
        </is>
      </c>
      <c r="B11" t="inlineStr">
        <is>
          <t>158µm</t>
        </is>
      </c>
      <c r="C11" t="n">
        <v>158</v>
      </c>
      <c r="D11" t="n">
        <v>60.5</v>
      </c>
      <c r="E11" t="n">
        <v>1.5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RW</t>
        </is>
      </c>
      <c r="B12" t="inlineStr">
        <is>
          <t>158µm</t>
        </is>
      </c>
      <c r="C12" t="n">
        <v>158</v>
      </c>
      <c r="D12" t="n">
        <v>60.5</v>
      </c>
      <c r="E12" t="n">
        <v>3</v>
      </c>
      <c r="F12">
        <f>IFERROR(ROUND(C12*0.2828/E12,0),"")</f>
        <v/>
      </c>
      <c r="G12" t="n">
        <v>32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R3.0×W6 — W(공짜)로 거친R 회복? ~4배 빠름</t>
        </is>
      </c>
      <c r="S12">
        <f>IFERROR(STDEV(M12:M13)/AVERAGE(M12:M13),"")</f>
        <v/>
      </c>
      <c r="T12">
        <f>IFERROR(SQRT(((AVERAGE(M12:M13)-N12)/N12)^2+(2*STDEV(M12:M13)/AVERAGE(M12:M13))^2),"")</f>
        <v/>
      </c>
    </row>
    <row r="13">
      <c r="A13" t="inlineStr">
        <is>
          <t>RW</t>
        </is>
      </c>
      <c r="B13" t="inlineStr">
        <is>
          <t>158µm</t>
        </is>
      </c>
      <c r="C13" t="n">
        <v>158</v>
      </c>
      <c r="D13" t="n">
        <v>60.5</v>
      </c>
      <c r="E13" t="n">
        <v>3</v>
      </c>
      <c r="F13">
        <f>IFERROR(ROUND(C13*0.2828/E13,0),"")</f>
        <v/>
      </c>
      <c r="G13" t="n">
        <v>32</v>
      </c>
      <c r="H13" t="n">
        <v>6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64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W4×F64(기준)</t>
        </is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64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W6×F64(W효과)</t>
        </is>
      </c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W6×F32(F교환)</t>
        </is>
      </c>
    </row>
    <row r="17">
      <c r="A17" t="inlineStr">
        <is>
          <t>gKF</t>
        </is>
      </c>
      <c r="B17" t="inlineStr">
        <is>
          <t>26µm</t>
        </is>
      </c>
      <c r="C17" t="n">
        <v>26</v>
      </c>
      <c r="D17" t="n">
        <v>59.5</v>
      </c>
      <c r="E17" t="n">
        <v>0.25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kV×F가드: 가장자리kV·F32</t>
        </is>
      </c>
    </row>
    <row r="18">
      <c r="A18" t="inlineStr">
        <is>
          <t>gKF</t>
        </is>
      </c>
      <c r="B18" t="inlineStr">
        <is>
          <t>26µm</t>
        </is>
      </c>
      <c r="C18" t="n">
        <v>26</v>
      </c>
      <c r="D18" t="n">
        <v>59.5</v>
      </c>
      <c r="E18" t="n">
        <v>0.25</v>
      </c>
      <c r="F18">
        <f>IFERROR(ROUND(C18*0.2828/E18,0),"")</f>
        <v/>
      </c>
      <c r="G18" t="n">
        <v>128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kV×F가드: 가장자리kV·F128</t>
        </is>
      </c>
    </row>
    <row r="19">
      <c r="A19" t="inlineStr">
        <is>
          <t>gKW</t>
        </is>
      </c>
      <c r="B19" t="inlineStr">
        <is>
          <t>158µm</t>
        </is>
      </c>
      <c r="C19" t="n">
        <v>158</v>
      </c>
      <c r="D19" t="n">
        <v>58.5</v>
      </c>
      <c r="E19" t="n">
        <v>1.5</v>
      </c>
      <c r="F19">
        <f>IFERROR(ROUND(C19*0.2828/E19,0),"")</f>
        <v/>
      </c>
      <c r="G19" t="n">
        <v>32</v>
      </c>
      <c r="H19" t="n">
        <v>4</v>
      </c>
      <c r="I19" t="n">
        <v>1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>
        <is>
          <t>kV×W가드: 저투과kV·W4</t>
        </is>
      </c>
    </row>
    <row r="20">
      <c r="A20" t="inlineStr">
        <is>
          <t>gKW</t>
        </is>
      </c>
      <c r="B20" t="inlineStr">
        <is>
          <t>158µm</t>
        </is>
      </c>
      <c r="C20" t="n">
        <v>158</v>
      </c>
      <c r="D20" t="n">
        <v>58.5</v>
      </c>
      <c r="E20" t="n">
        <v>1.5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kV×W가드: 저투과kV·W6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Phase4_확인</t>
        </is>
      </c>
    </row>
    <row r="2">
      <c r="A2" s="6" t="inlineStr">
        <is>
          <t>모델 산출 (kV,R,F,W)로 자재별 ×3반복. 합격: 매칭Y &amp; Q_dia97~103% &amp; 총오차_rel≤10% &amp; tact 최소.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(모델R≈0.25)</t>
        </is>
      </c>
      <c r="F6">
        <f>IFERROR(ROUND(C6*0.2828/E6,0),"")</f>
        <v/>
      </c>
      <c r="G6" t="inlineStr">
        <is>
          <t>(모델F≥32)</t>
        </is>
      </c>
      <c r="H6" t="inlineStr">
        <is>
          <t>(모델W4)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정확도(총오차≤10%) 확인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(모델R≈0.25)</t>
        </is>
      </c>
      <c r="F7">
        <f>IFERROR(ROUND(C7*0.2828/E7,0),"")</f>
        <v/>
      </c>
      <c r="G7" t="inlineStr">
        <is>
          <t>(모델F≥32)</t>
        </is>
      </c>
      <c r="H7" t="inlineStr">
        <is>
          <t>(모델W4)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(모델R≈0.25)</t>
        </is>
      </c>
      <c r="F8">
        <f>IFERROR(ROUND(C8*0.2828/E8,0),"")</f>
        <v/>
      </c>
      <c r="G8" t="inlineStr">
        <is>
          <t>(모델F≥32)</t>
        </is>
      </c>
      <c r="H8" t="inlineStr">
        <is>
          <t>(모델W4)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inlineStr">
        <is>
          <t>(모델F)</t>
        </is>
      </c>
      <c r="H9" t="inlineStr">
        <is>
          <t>(모델W*)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정확도 확인 (W↑로 R 거칠게 최적)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inlineStr">
        <is>
          <t>(모델F)</t>
        </is>
      </c>
      <c r="H10" t="inlineStr">
        <is>
          <t>(모델W*)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inlineStr">
        <is>
          <t>(모델F)</t>
        </is>
      </c>
      <c r="H11" t="inlineStr">
        <is>
          <t>(모델W*)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정확도(총오차≤10%) 만족 설정 중 최소 tact. R·F·W 함께 최적화</t>
        </is>
      </c>
    </row>
    <row r="3">
      <c r="A3" s="5" t="inlineStr">
        <is>
          <t>■ 확정 계수</t>
        </is>
      </c>
    </row>
    <row r="4">
      <c r="A4" s="1" t="inlineStr">
        <is>
          <t>kV 직경식</t>
        </is>
      </c>
      <c r="B4" s="4" t="inlineStr">
        <is>
          <t>측정직경/PD=1+s·(kV−kV0). Phase1</t>
        </is>
      </c>
    </row>
    <row r="5">
      <c r="A5" s="1" t="inlineStr">
        <is>
          <t>N_target</t>
        </is>
      </c>
      <c r="B5" s="4" t="inlineStr">
        <is>
          <t>2/N≤~7%→N≈29. Phase1·2로 정밀화</t>
        </is>
      </c>
    </row>
    <row r="6">
      <c r="A6" s="1" t="inlineStr">
        <is>
          <t>σ(F)</t>
        </is>
      </c>
      <c r="B6" s="4" t="inlineStr">
        <is>
          <t>Phase2: 2σ≤~7% 최소 F(≥32)</t>
        </is>
      </c>
    </row>
    <row r="7">
      <c r="A7" s="1" t="inlineStr">
        <is>
          <t>R×F·R×W 교환</t>
        </is>
      </c>
      <c r="B7" s="4" t="inlineStr">
        <is>
          <t>Phase3: 등시간에서 R↓ vs F↑ vs W↑ 어느게 정확한지 → 최적 (R,F,W)</t>
        </is>
      </c>
    </row>
    <row r="8">
      <c r="A8" s="1" t="inlineStr">
        <is>
          <t>W*·블러</t>
        </is>
      </c>
      <c r="B8" s="4" t="inlineStr">
        <is>
          <t>Phase2·3: W 최적(블러 가드). W는 공짜라 두꺼운 범프 1순위</t>
        </is>
      </c>
    </row>
    <row r="9">
      <c r="A9" s="1" t="inlineStr">
        <is>
          <t>kV 가드</t>
        </is>
      </c>
      <c r="B9" s="4" t="inlineStr">
        <is>
          <t>Phase3: kV*의 창이 F·W 충분할 때만 안전한지</t>
        </is>
      </c>
    </row>
    <row r="10">
      <c r="A10" s="1" t="inlineStr">
        <is>
          <t>tact</t>
        </is>
      </c>
      <c r="B10" s="4" t="inlineStr">
        <is>
          <t>a·(shot수·F)+b. W는 tact무관. 정확도 만족 집합서만 최소</t>
        </is>
      </c>
    </row>
    <row r="12">
      <c r="A12" s="5" t="inlineStr">
        <is>
          <t>■ 역설계 규칙 (정확도 우선 → 그 안에서 시간최소)</t>
        </is>
      </c>
    </row>
    <row r="13">
      <c r="A13" s="1" t="inlineStr">
        <is>
          <t>1) kV</t>
        </is>
      </c>
      <c r="B13" s="4" t="inlineStr">
        <is>
          <t>kV*(D)서 1kV 트림→측정직경=PD(100%)</t>
        </is>
      </c>
    </row>
    <row r="14">
      <c r="A14" s="1" t="inlineStr">
        <is>
          <t>2) 정확도 확보 순서</t>
        </is>
      </c>
      <c r="B14" s="4" t="inlineStr">
        <is>
          <t>경계 흐리면(노이즈 지배): 두꺼운범프=W↑(공짜, 블러까지)→F↑ / 26µm=F↑ (R은 하한)</t>
        </is>
      </c>
    </row>
    <row r="15">
      <c r="A15" s="1" t="inlineStr">
        <is>
          <t>3) R</t>
        </is>
      </c>
      <c r="B15" s="4" t="inlineStr">
        <is>
          <t>정확도 남으면 R↑(가장 비쌈, 2차)로 shot↓. R=max(0.2,D√p/N29)</t>
        </is>
      </c>
    </row>
    <row r="16">
      <c r="A16" s="1" t="inlineStr">
        <is>
          <t>4) 검증</t>
        </is>
      </c>
      <c r="B16" s="4" t="inlineStr">
        <is>
          <t>총오차≤10% &amp; 매칭 &amp; Q_dia 후 tact. 미달이면 W→F→R 순으로 보강</t>
        </is>
      </c>
    </row>
    <row r="18">
      <c r="A18" s="4" t="inlineStr">
        <is>
          <t>※ 정확도가 설정을 고정하면 시간여유 적어도 그대로(정확도&gt;시간). 확정 계수는 레시피모델·계산기에 반영.</t>
        </is>
      </c>
    </row>
    <row r="19"/>
  </sheetData>
  <mergeCells count="12">
    <mergeCell ref="B8:H8"/>
    <mergeCell ref="B14:H14"/>
    <mergeCell ref="B9:H9"/>
    <mergeCell ref="B13:H13"/>
    <mergeCell ref="B4:H4"/>
    <mergeCell ref="B6:H6"/>
    <mergeCell ref="B16:H16"/>
    <mergeCell ref="A18:H19"/>
    <mergeCell ref="B15:H15"/>
    <mergeCell ref="B7:H7"/>
    <mergeCell ref="B10:H1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2026-07-05T14:55:00Z</dcterms:created>
  <dcterms:modified xmlns:dcterms="http://purl.org/dc/terms/" xmlns:xsi="http://www.w3.org/2001/XMLSchema-instance" xsi:type="dcterms:W3CDTF">2026-07-05T14:55:00Z</dcterms:modified>
</cp:coreProperties>
</file>