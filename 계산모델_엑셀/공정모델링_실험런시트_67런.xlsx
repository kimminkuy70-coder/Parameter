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1차실측" sheetId="2" state="visible" r:id="rId2"/>
    <sheet xmlns:r="http://schemas.openxmlformats.org/officeDocument/2006/relationships" name="Phase1_주효과_kV·R" sheetId="3" state="visible" r:id="rId3"/>
    <sheet xmlns:r="http://schemas.openxmlformats.org/officeDocument/2006/relationships" name="Phase2_재현성_F·W" sheetId="4" state="visible" r:id="rId4"/>
    <sheet xmlns:r="http://schemas.openxmlformats.org/officeDocument/2006/relationships" name="Phase3_교호작용" sheetId="5" state="visible" r:id="rId5"/>
    <sheet xmlns:r="http://schemas.openxmlformats.org/officeDocument/2006/relationships" name="Phase4_확인" sheetId="6" state="visible" r:id="rId6"/>
    <sheet xmlns:r="http://schemas.openxmlformats.org/officeDocument/2006/relationships" name="분석_역설계모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공정 모델링 실험 런시트 — 설계 설명 [67런 완전판] (1차 실측 반영)</t>
        </is>
      </c>
    </row>
    <row r="2">
      <c r="A2" s="2" t="inlineStr">
        <is>
          <t>대원칙: 정확한 검사결과가 최우선. 시간단축은 정확도 지키는 범위 안에서만. 자재=26µm·86µm(158µm 미보유→86µm 사용).</t>
        </is>
      </c>
    </row>
    <row r="4">
      <c r="A4" s="3" t="inlineStr">
        <is>
          <t>■ 1차 실측 교훈 (★설계 수정 근거 — '1차실측' 시트 참조)</t>
        </is>
      </c>
    </row>
    <row r="5">
      <c r="A5" s="4" t="inlineStr">
        <is>
          <t>· 86µm: 양호. kV*≈60.5(Q0.999), R스윕 안정. · 26µm: 미세 R일수록 과소측정·측정실패 (R0.2→Q0.57, R0.5→Q0.82). 원인=광자부족(얇은 범프+작은 픽셀→노이즈에 묻혀 어두운 핵만 잡음). → ①측정 가능 영역에서 kV* 찾기(26µm=R0.5·F32, kV55~58) ②미세 R은 높은 F와 짝(계단식) ③측정실패 조건에 런 배치 금지.</t>
        </is>
      </c>
    </row>
    <row r="6"/>
    <row r="7"/>
    <row r="8"/>
    <row r="10">
      <c r="A10" s="5" t="inlineStr">
        <is>
          <t>■ 정확도 = void 총오차 ≤ 10% = √(픽셀화² + 노이즈²)</t>
        </is>
      </c>
    </row>
    <row r="11">
      <c r="A11" s="4" t="inlineStr">
        <is>
          <t>픽셀화(R):2/N≤7%→N≈29 / 노이즈(F,W):2σ≤7%. ★단 26µm은 미세 R이 측정을 깨서 N을 못 키움 → void 정확도가 물리적으로 ~13%(R0.5·N15) 수준에 묶일 수 있음. Phase의 R×F로 'F로 회복 가능한지' 확인.</t>
        </is>
      </c>
    </row>
    <row r="12"/>
    <row r="13"/>
    <row r="15">
      <c r="A15" s="2" t="inlineStr">
        <is>
          <t>■ 정확도 사는 비용 순위: W(시간 공짜) &lt; F(1차) &lt; R(2차). SNR∝√(W·F·t), tact∝F/R².</t>
        </is>
      </c>
    </row>
    <row r="16"/>
    <row r="17">
      <c r="A17" s="4" t="inlineStr">
        <is>
          <t>미세 R은 광자부족을 부르므로, 정확도는 R을 내리기보다 F(또는 두꺼운 범프면 W)로 사는 게 싸고 안전. 두꺼운/큰 범프: W↑(공짜)로 거친 R 허용. 26µm: R하한+측정한계라 F가 지렛대, 시간은 shot수.</t>
        </is>
      </c>
    </row>
    <row r="18"/>
    <row r="19"/>
    <row r="21">
      <c r="A21" s="6" t="inlineStr">
        <is>
          <t>■ 교호작용(Phase3): R×F(26µm)·R×W(86µm)·W×F(86µm) + kV×F·kV×W 가드. 총오차_rel로 비교.</t>
        </is>
      </c>
    </row>
    <row r="22"/>
  </sheetData>
  <mergeCells count="8">
    <mergeCell ref="A4:H4"/>
    <mergeCell ref="A17:H19"/>
    <mergeCell ref="A15:H16"/>
    <mergeCell ref="A11:H13"/>
    <mergeCell ref="A2:H2"/>
    <mergeCell ref="A10:H10"/>
    <mergeCell ref="A5:H8"/>
    <mergeCell ref="A21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1차 실측 데이터 (설계 수정의 근거)</t>
        </is>
      </c>
    </row>
    <row r="2">
      <c r="A2" s="7" t="inlineStr">
        <is>
          <t>86µm는 안정(kV*≈60.5). 26µm는 미세 R서 과소측정·실패(광자부족) → 측정 가능 영역/계단식 F로 재설계.</t>
        </is>
      </c>
    </row>
    <row r="4">
      <c r="A4" s="8" t="inlineStr">
        <is>
          <t>Run</t>
        </is>
      </c>
      <c r="B4" s="8" t="inlineStr">
        <is>
          <t>자재</t>
        </is>
      </c>
      <c r="C4" s="8" t="inlineStr">
        <is>
          <t>PD직경</t>
        </is>
      </c>
      <c r="D4" s="8" t="inlineStr">
        <is>
          <t>kV</t>
        </is>
      </c>
      <c r="E4" s="8" t="inlineStr">
        <is>
          <t>R</t>
        </is>
      </c>
      <c r="F4" s="8" t="inlineStr">
        <is>
          <t>F</t>
        </is>
      </c>
      <c r="G4" s="8" t="inlineStr">
        <is>
          <t>W</t>
        </is>
      </c>
      <c r="H4" s="8" t="inlineStr">
        <is>
          <t>측정직경</t>
        </is>
      </c>
      <c r="I4" s="8" t="inlineStr">
        <is>
          <t>Q_dia</t>
        </is>
      </c>
      <c r="J4" s="8" t="inlineStr">
        <is>
          <t>메모</t>
        </is>
      </c>
    </row>
    <row r="5">
      <c r="A5" s="9" t="inlineStr">
        <is>
          <t>kV1</t>
        </is>
      </c>
      <c r="B5" s="9" t="inlineStr">
        <is>
          <t>26µm</t>
        </is>
      </c>
      <c r="C5" s="9" t="n">
        <v>26</v>
      </c>
      <c r="D5" s="9" t="n">
        <v>55.5</v>
      </c>
      <c r="E5" s="9" t="n">
        <v>0.2</v>
      </c>
      <c r="F5" s="9" t="n">
        <v>32</v>
      </c>
      <c r="G5" s="9" t="n">
        <v>4</v>
      </c>
      <c r="H5" s="9" t="inlineStr">
        <is>
          <t>측정실패</t>
        </is>
      </c>
      <c r="I5" s="9" t="inlineStr"/>
      <c r="J5" s="9" t="inlineStr"/>
    </row>
    <row r="6">
      <c r="A6" t="inlineStr">
        <is>
          <t>kV2</t>
        </is>
      </c>
      <c r="B6" t="inlineStr">
        <is>
          <t>26µm</t>
        </is>
      </c>
      <c r="C6" t="n">
        <v>26</v>
      </c>
      <c r="D6" t="n">
        <v>59.5</v>
      </c>
      <c r="E6" t="n">
        <v>0.2</v>
      </c>
      <c r="F6" t="n">
        <v>32</v>
      </c>
      <c r="G6" t="n">
        <v>4</v>
      </c>
      <c r="H6" t="n">
        <v>9.050000000000001</v>
      </c>
      <c r="I6" t="n">
        <v>0.348</v>
      </c>
      <c r="J6" t="inlineStr">
        <is>
          <t>과소측정(35%)</t>
        </is>
      </c>
    </row>
    <row r="7">
      <c r="A7" t="inlineStr">
        <is>
          <t>kV3</t>
        </is>
      </c>
      <c r="B7" t="inlineStr">
        <is>
          <t>86µm</t>
        </is>
      </c>
      <c r="C7" t="n">
        <v>86</v>
      </c>
      <c r="D7" t="n">
        <v>58.5</v>
      </c>
      <c r="E7" t="n">
        <v>0.77</v>
      </c>
      <c r="F7" t="n">
        <v>32</v>
      </c>
      <c r="G7" t="n">
        <v>4</v>
      </c>
      <c r="H7" t="n">
        <v>83.09999999999999</v>
      </c>
      <c r="I7" t="n">
        <v>0.966</v>
      </c>
      <c r="J7" t="inlineStr"/>
    </row>
    <row r="8">
      <c r="A8" t="inlineStr">
        <is>
          <t>kV4</t>
        </is>
      </c>
      <c r="B8" t="inlineStr">
        <is>
          <t>86µm</t>
        </is>
      </c>
      <c r="C8" t="n">
        <v>86</v>
      </c>
      <c r="D8" t="n">
        <v>62.5</v>
      </c>
      <c r="E8" t="n">
        <v>0.77</v>
      </c>
      <c r="F8" t="n">
        <v>32</v>
      </c>
      <c r="G8" t="n">
        <v>4</v>
      </c>
      <c r="H8" t="n">
        <v>77.8</v>
      </c>
      <c r="I8" t="n">
        <v>0.905</v>
      </c>
      <c r="J8" t="inlineStr"/>
    </row>
    <row r="9">
      <c r="A9" t="inlineStr">
        <is>
          <t>R1</t>
        </is>
      </c>
      <c r="B9" t="inlineStr">
        <is>
          <t>26µm</t>
        </is>
      </c>
      <c r="C9" t="n">
        <v>26</v>
      </c>
      <c r="D9" t="n">
        <v>57.5</v>
      </c>
      <c r="E9" t="n">
        <v>0.2</v>
      </c>
      <c r="F9" t="n">
        <v>32</v>
      </c>
      <c r="G9" t="n">
        <v>4</v>
      </c>
      <c r="H9" t="n">
        <v>14.87</v>
      </c>
      <c r="I9" t="n">
        <v>0.572</v>
      </c>
      <c r="J9" t="inlineStr">
        <is>
          <t>미세R 과소</t>
        </is>
      </c>
    </row>
    <row r="10">
      <c r="A10" s="9" t="inlineStr">
        <is>
          <t>R2</t>
        </is>
      </c>
      <c r="B10" s="9" t="inlineStr">
        <is>
          <t>26µm</t>
        </is>
      </c>
      <c r="C10" s="9" t="n">
        <v>26</v>
      </c>
      <c r="D10" s="9" t="n">
        <v>57.5</v>
      </c>
      <c r="E10" s="9" t="n">
        <v>0.25</v>
      </c>
      <c r="F10" s="9" t="n">
        <v>32</v>
      </c>
      <c r="G10" s="9" t="n">
        <v>4</v>
      </c>
      <c r="H10" s="9" t="inlineStr">
        <is>
          <t>측정실패</t>
        </is>
      </c>
      <c r="I10" s="9" t="inlineStr"/>
      <c r="J10" s="9" t="inlineStr">
        <is>
          <t>F32+미세R</t>
        </is>
      </c>
    </row>
    <row r="11">
      <c r="A11" t="inlineStr">
        <is>
          <t>R3</t>
        </is>
      </c>
      <c r="B11" t="inlineStr">
        <is>
          <t>26µm</t>
        </is>
      </c>
      <c r="C11" t="n">
        <v>26</v>
      </c>
      <c r="D11" t="n">
        <v>57.5</v>
      </c>
      <c r="E11" t="n">
        <v>0.5</v>
      </c>
      <c r="F11" t="n">
        <v>32</v>
      </c>
      <c r="G11" t="n">
        <v>4</v>
      </c>
      <c r="H11" t="n">
        <v>21.35</v>
      </c>
      <c r="I11" t="n">
        <v>0.821</v>
      </c>
      <c r="J11" t="inlineStr">
        <is>
          <t>거친R가 더 정확</t>
        </is>
      </c>
    </row>
    <row r="12">
      <c r="A12" t="inlineStr">
        <is>
          <t>R4</t>
        </is>
      </c>
      <c r="B12" t="inlineStr">
        <is>
          <t>86µm</t>
        </is>
      </c>
      <c r="C12" t="n">
        <v>86</v>
      </c>
      <c r="D12" t="n">
        <v>60.5</v>
      </c>
      <c r="E12" t="n">
        <v>0.77</v>
      </c>
      <c r="F12" t="n">
        <v>32</v>
      </c>
      <c r="G12" t="n">
        <v>4</v>
      </c>
      <c r="H12" t="n">
        <v>85.90000000000001</v>
      </c>
      <c r="I12" t="n">
        <v>0.999</v>
      </c>
      <c r="J12" t="inlineStr">
        <is>
          <t>kV* 근처</t>
        </is>
      </c>
    </row>
    <row r="13">
      <c r="A13" t="inlineStr">
        <is>
          <t>R5</t>
        </is>
      </c>
      <c r="B13" t="inlineStr">
        <is>
          <t>86µm</t>
        </is>
      </c>
      <c r="C13" t="n">
        <v>86</v>
      </c>
      <c r="D13" t="n">
        <v>60.5</v>
      </c>
      <c r="E13" t="n">
        <v>1.5</v>
      </c>
      <c r="F13" t="n">
        <v>32</v>
      </c>
      <c r="G13" t="n">
        <v>4</v>
      </c>
      <c r="H13" t="n">
        <v>84.8</v>
      </c>
      <c r="I13" t="n">
        <v>0.986</v>
      </c>
      <c r="J13" t="inlineStr"/>
    </row>
    <row r="14">
      <c r="A14" t="inlineStr">
        <is>
          <t>R6</t>
        </is>
      </c>
      <c r="B14" t="inlineStr">
        <is>
          <t>86µm</t>
        </is>
      </c>
      <c r="C14" t="n">
        <v>86</v>
      </c>
      <c r="D14" t="n">
        <v>60.5</v>
      </c>
      <c r="E14" t="n">
        <v>3</v>
      </c>
      <c r="F14" t="n">
        <v>32</v>
      </c>
      <c r="G14" t="n">
        <v>4</v>
      </c>
      <c r="H14" t="n">
        <v>81.59999999999999</v>
      </c>
      <c r="I14" t="n">
        <v>0.949</v>
      </c>
      <c r="J14" t="inlineStr">
        <is>
          <t>void N8 과소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</cols>
  <sheetData>
    <row r="1">
      <c r="A1" s="1" t="inlineStr">
        <is>
          <t>Phase1_주효과_kV·R</t>
        </is>
      </c>
    </row>
    <row r="2">
      <c r="A2" s="10" t="inlineStr">
        <is>
          <t>kV 스윕은 측정되는 (R,F)에서(26µm=R0.5·F32, 86µm=R0.5·F32). R 스윕은 미세R에 高F 짝(계단식). gold=최정밀 측정점.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</row>
    <row r="6">
      <c r="A6" t="inlineStr">
        <is>
          <t>kV1</t>
        </is>
      </c>
      <c r="B6" t="inlineStr">
        <is>
          <t>26µm</t>
        </is>
      </c>
      <c r="C6" t="n">
        <v>26</v>
      </c>
      <c r="D6" t="n">
        <v>55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26µm kV* 찾기(측정영역)</t>
        </is>
      </c>
    </row>
    <row r="7">
      <c r="A7" t="inlineStr">
        <is>
          <t>kV2</t>
        </is>
      </c>
      <c r="B7" t="inlineStr">
        <is>
          <t>26µm</t>
        </is>
      </c>
      <c r="C7" t="n">
        <v>26</v>
      </c>
      <c r="D7" t="n">
        <v>56.5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>
        <is>
          <t>26µm kV* 찾기(측정영역)</t>
        </is>
      </c>
    </row>
    <row r="8">
      <c r="A8" t="inlineStr">
        <is>
          <t>kV3</t>
        </is>
      </c>
      <c r="B8" t="inlineStr">
        <is>
          <t>26µm</t>
        </is>
      </c>
      <c r="C8" t="n">
        <v>26</v>
      </c>
      <c r="D8" t="n">
        <v>58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26µm kV* 찾기(측정영역)</t>
        </is>
      </c>
    </row>
    <row r="9">
      <c r="A9" t="inlineStr">
        <is>
          <t>kV4</t>
        </is>
      </c>
      <c r="B9" t="inlineStr">
        <is>
          <t>86µm</t>
        </is>
      </c>
      <c r="C9" t="n">
        <v>86</v>
      </c>
      <c r="D9" t="n">
        <v>58.5</v>
      </c>
      <c r="E9" t="n">
        <v>0.5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86µm kV* 찾기(측정영역)</t>
        </is>
      </c>
    </row>
    <row r="10">
      <c r="A10" t="inlineStr">
        <is>
          <t>kV5</t>
        </is>
      </c>
      <c r="B10" t="inlineStr">
        <is>
          <t>86µm</t>
        </is>
      </c>
      <c r="C10" t="n">
        <v>86</v>
      </c>
      <c r="D10" t="n">
        <v>60.5</v>
      </c>
      <c r="E10" t="n">
        <v>0.5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86µm kV* 찾기(측정영역)</t>
        </is>
      </c>
    </row>
    <row r="11">
      <c r="A11" t="inlineStr">
        <is>
          <t>kV6</t>
        </is>
      </c>
      <c r="B11" t="inlineStr">
        <is>
          <t>86µm</t>
        </is>
      </c>
      <c r="C11" t="n">
        <v>86</v>
      </c>
      <c r="D11" t="n">
        <v>62.5</v>
      </c>
      <c r="E11" t="n">
        <v>0.5</v>
      </c>
      <c r="F11">
        <f>IFERROR(ROUND(C11*0.2828/E11,0),"")</f>
        <v/>
      </c>
      <c r="G11" t="n">
        <v>32</v>
      </c>
      <c r="H11" t="n">
        <v>4</v>
      </c>
      <c r="I11" t="n">
        <v>1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>
        <is>
          <t>86µm kV* 찾기(측정영역)</t>
        </is>
      </c>
    </row>
    <row r="12">
      <c r="A12" t="inlineStr">
        <is>
          <t>R1</t>
        </is>
      </c>
      <c r="B12" t="inlineStr">
        <is>
          <t>26µm</t>
        </is>
      </c>
      <c r="C12" t="n">
        <v>26</v>
      </c>
      <c r="D12" t="n">
        <v>56</v>
      </c>
      <c r="E12" t="n">
        <v>0.5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N≈15·F32</t>
        </is>
      </c>
    </row>
    <row r="13">
      <c r="A13" t="inlineStr">
        <is>
          <t>R2</t>
        </is>
      </c>
      <c r="B13" t="inlineStr">
        <is>
          <t>26µm</t>
        </is>
      </c>
      <c r="C13" t="n">
        <v>26</v>
      </c>
      <c r="D13" t="n">
        <v>56</v>
      </c>
      <c r="E13" t="n">
        <v>0.35</v>
      </c>
      <c r="F13">
        <f>IFERROR(ROUND(C13*0.2828/E13,0),"")</f>
        <v/>
      </c>
      <c r="G13" t="n">
        <v>64</v>
      </c>
      <c r="H13" t="n">
        <v>4</v>
      </c>
      <c r="I13" t="n">
        <v>1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>
        <is>
          <t>N≈21·F64 (미세R=高F)</t>
        </is>
      </c>
    </row>
    <row r="14">
      <c r="A14" t="inlineStr">
        <is>
          <t>R3</t>
        </is>
      </c>
      <c r="B14" t="inlineStr">
        <is>
          <t>26µm</t>
        </is>
      </c>
      <c r="C14" t="n">
        <v>26</v>
      </c>
      <c r="D14" t="n">
        <v>56</v>
      </c>
      <c r="E14" t="n">
        <v>0.2</v>
      </c>
      <c r="F14">
        <f>IFERROR(ROUND(C14*0.2828/E14,0),"")</f>
        <v/>
      </c>
      <c r="G14" t="n">
        <v>128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N≈37·F128 (미세R=高F)</t>
        </is>
      </c>
    </row>
    <row r="15">
      <c r="A15" t="inlineStr">
        <is>
          <t>R4</t>
        </is>
      </c>
      <c r="B15" t="inlineStr">
        <is>
          <t>86µm</t>
        </is>
      </c>
      <c r="C15" t="n">
        <v>86</v>
      </c>
      <c r="D15" t="n">
        <v>60.5</v>
      </c>
      <c r="E15" t="n">
        <v>0.5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N≈49·F32</t>
        </is>
      </c>
    </row>
    <row r="16">
      <c r="A16" t="inlineStr">
        <is>
          <t>R5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4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N≈30·F32</t>
        </is>
      </c>
    </row>
    <row r="17">
      <c r="A17" t="inlineStr">
        <is>
          <t>R6</t>
        </is>
      </c>
      <c r="B17" t="inlineStr">
        <is>
          <t>86µm</t>
        </is>
      </c>
      <c r="C17" t="n">
        <v>86</v>
      </c>
      <c r="D17" t="n">
        <v>60.5</v>
      </c>
      <c r="E17" t="n">
        <v>1.5</v>
      </c>
      <c r="F17">
        <f>IFERROR(ROUND(C17*0.2828/E17,0),"")</f>
        <v/>
      </c>
      <c r="G17" t="n">
        <v>32</v>
      </c>
      <c r="H17" t="n">
        <v>4</v>
      </c>
      <c r="I17" t="n">
        <v>1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>
        <is>
          <t>N≈16·F32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Phase2_재현성_F·W</t>
        </is>
      </c>
    </row>
    <row r="2">
      <c r="A2" s="10" t="inlineStr">
        <is>
          <t>같은 범프 반복→σ·총오차. 26µm=F스윕(R0.5, F로 측정회복+σ), 86µm=W스윕(R0.8; W가 86µm서 유효한지). kV*.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  <c r="S5" s="11" t="inlineStr">
        <is>
          <t>void%σ_rel(자동)</t>
        </is>
      </c>
      <c r="T5" s="11" t="inlineStr">
        <is>
          <t>총오차_rel(자동)≤0.10</t>
        </is>
      </c>
    </row>
    <row r="6">
      <c r="A6" t="inlineStr">
        <is>
          <t>F32</t>
        </is>
      </c>
      <c r="B6" t="inlineStr">
        <is>
          <t>26µm</t>
        </is>
      </c>
      <c r="C6" t="n">
        <v>26</v>
      </c>
      <c r="D6" t="n">
        <v>56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F=32 재현성·측정회복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F32</t>
        </is>
      </c>
      <c r="B7" t="inlineStr">
        <is>
          <t>26µm</t>
        </is>
      </c>
      <c r="C7" t="n">
        <v>26</v>
      </c>
      <c r="D7" t="n">
        <v>56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F32</t>
        </is>
      </c>
      <c r="B8" t="inlineStr">
        <is>
          <t>26µm</t>
        </is>
      </c>
      <c r="C8" t="n">
        <v>26</v>
      </c>
      <c r="D8" t="n">
        <v>56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F64</t>
        </is>
      </c>
      <c r="B9" t="inlineStr">
        <is>
          <t>26µm</t>
        </is>
      </c>
      <c r="C9" t="n">
        <v>26</v>
      </c>
      <c r="D9" t="n">
        <v>56</v>
      </c>
      <c r="E9" t="n">
        <v>0.5</v>
      </c>
      <c r="F9">
        <f>IFERROR(ROUND(C9*0.2828/E9,0),"")</f>
        <v/>
      </c>
      <c r="G9" t="n">
        <v>64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F=64 재현성·측정회복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F64</t>
        </is>
      </c>
      <c r="B10" t="inlineStr">
        <is>
          <t>26µm</t>
        </is>
      </c>
      <c r="C10" t="n">
        <v>26</v>
      </c>
      <c r="D10" t="n">
        <v>56</v>
      </c>
      <c r="E10" t="n">
        <v>0.5</v>
      </c>
      <c r="F10">
        <f>IFERROR(ROUND(C10*0.2828/E10,0),"")</f>
        <v/>
      </c>
      <c r="G10" t="n">
        <v>64</v>
      </c>
      <c r="H10" t="n">
        <v>4</v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F64</t>
        </is>
      </c>
      <c r="B11" t="inlineStr">
        <is>
          <t>26µm</t>
        </is>
      </c>
      <c r="C11" t="n">
        <v>26</v>
      </c>
      <c r="D11" t="n">
        <v>56</v>
      </c>
      <c r="E11" t="n">
        <v>0.5</v>
      </c>
      <c r="F11">
        <f>IFERROR(ROUND(C11*0.2828/E11,0),"")</f>
        <v/>
      </c>
      <c r="G11" t="n">
        <v>64</v>
      </c>
      <c r="H11" t="n">
        <v>4</v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F128</t>
        </is>
      </c>
      <c r="B12" t="inlineStr">
        <is>
          <t>26µm</t>
        </is>
      </c>
      <c r="C12" t="n">
        <v>26</v>
      </c>
      <c r="D12" t="n">
        <v>56</v>
      </c>
      <c r="E12" t="n">
        <v>0.5</v>
      </c>
      <c r="F12">
        <f>IFERROR(ROUND(C12*0.2828/E12,0),"")</f>
        <v/>
      </c>
      <c r="G12" t="n">
        <v>128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F=128 재현성·측정회복</t>
        </is>
      </c>
      <c r="S12">
        <f>IFERROR(STDEV(M12:M14)/AVERAGE(M12:M14),"")</f>
        <v/>
      </c>
      <c r="T12">
        <f>IFERROR(SQRT(((AVERAGE(M12:M14)-N12)/N12)^2+(2*STDEV(M12:M14)/AVERAGE(M12:M14))^2),"")</f>
        <v/>
      </c>
    </row>
    <row r="13">
      <c r="A13" t="inlineStr">
        <is>
          <t>F128</t>
        </is>
      </c>
      <c r="B13" t="inlineStr">
        <is>
          <t>26µm</t>
        </is>
      </c>
      <c r="C13" t="n">
        <v>26</v>
      </c>
      <c r="D13" t="n">
        <v>56</v>
      </c>
      <c r="E13" t="n">
        <v>0.5</v>
      </c>
      <c r="F13">
        <f>IFERROR(ROUND(C13*0.2828/E13,0),"")</f>
        <v/>
      </c>
      <c r="G13" t="n">
        <v>128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F128</t>
        </is>
      </c>
      <c r="B14" t="inlineStr">
        <is>
          <t>26µm</t>
        </is>
      </c>
      <c r="C14" t="n">
        <v>26</v>
      </c>
      <c r="D14" t="n">
        <v>56</v>
      </c>
      <c r="E14" t="n">
        <v>0.5</v>
      </c>
      <c r="F14">
        <f>IFERROR(ROUND(C14*0.2828/E14,0),"")</f>
        <v/>
      </c>
      <c r="G14" t="n">
        <v>128</v>
      </c>
      <c r="H14" t="n">
        <v>4</v>
      </c>
      <c r="I14" t="n">
        <v>3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/>
    </row>
    <row r="15">
      <c r="A15" t="inlineStr">
        <is>
          <t>W3</t>
        </is>
      </c>
      <c r="B15" t="inlineStr">
        <is>
          <t>86µm</t>
        </is>
      </c>
      <c r="C15" t="n">
        <v>86</v>
      </c>
      <c r="D15" t="n">
        <v>60.5</v>
      </c>
      <c r="E15" t="n">
        <v>0.8</v>
      </c>
      <c r="F15">
        <f>IFERROR(ROUND(C15*0.2828/E15,0),"")</f>
        <v/>
      </c>
      <c r="G15" t="n">
        <v>32</v>
      </c>
      <c r="H15" t="n">
        <v>3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W=3 (86µm서 유효?)</t>
        </is>
      </c>
      <c r="S15">
        <f>IFERROR(STDEV(M15:M17)/AVERAGE(M15:M17),"")</f>
        <v/>
      </c>
      <c r="T15">
        <f>IFERROR(SQRT(((AVERAGE(M15:M17)-N15)/N15)^2+(2*STDEV(M15:M17)/AVERAGE(M15:M17))^2),"")</f>
        <v/>
      </c>
    </row>
    <row r="16">
      <c r="A16" t="inlineStr">
        <is>
          <t>W3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3</v>
      </c>
      <c r="I16" t="n">
        <v>2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/>
    </row>
    <row r="17">
      <c r="A17" t="inlineStr">
        <is>
          <t>W3</t>
        </is>
      </c>
      <c r="B17" t="inlineStr">
        <is>
          <t>86µm</t>
        </is>
      </c>
      <c r="C17" t="n">
        <v>86</v>
      </c>
      <c r="D17" t="n">
        <v>60.5</v>
      </c>
      <c r="E17" t="n">
        <v>0.8</v>
      </c>
      <c r="F17">
        <f>IFERROR(ROUND(C17*0.2828/E17,0),"")</f>
        <v/>
      </c>
      <c r="G17" t="n">
        <v>32</v>
      </c>
      <c r="H17" t="n">
        <v>3</v>
      </c>
      <c r="I17" t="n">
        <v>3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  <row r="18">
      <c r="A18" t="inlineStr">
        <is>
          <t>W4</t>
        </is>
      </c>
      <c r="B18" t="inlineStr">
        <is>
          <t>86µm</t>
        </is>
      </c>
      <c r="C18" t="n">
        <v>86</v>
      </c>
      <c r="D18" t="n">
        <v>60.5</v>
      </c>
      <c r="E18" t="n">
        <v>0.8</v>
      </c>
      <c r="F18">
        <f>IFERROR(ROUND(C18*0.2828/E18,0),"")</f>
        <v/>
      </c>
      <c r="G18" t="n">
        <v>32</v>
      </c>
      <c r="H18" t="n">
        <v>4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W=4 (86µm서 유효?)</t>
        </is>
      </c>
      <c r="S18">
        <f>IFERROR(STDEV(M18:M20)/AVERAGE(M18:M20),"")</f>
        <v/>
      </c>
      <c r="T18">
        <f>IFERROR(SQRT(((AVERAGE(M18:M20)-N18)/N18)^2+(2*STDEV(M18:M20)/AVERAGE(M18:M20))^2),"")</f>
        <v/>
      </c>
    </row>
    <row r="19">
      <c r="A19" t="inlineStr">
        <is>
          <t>W4</t>
        </is>
      </c>
      <c r="B19" t="inlineStr">
        <is>
          <t>86µm</t>
        </is>
      </c>
      <c r="C19" t="n">
        <v>86</v>
      </c>
      <c r="D19" t="n">
        <v>60.5</v>
      </c>
      <c r="E19" t="n">
        <v>0.8</v>
      </c>
      <c r="F19">
        <f>IFERROR(ROUND(C19*0.2828/E19,0),"")</f>
        <v/>
      </c>
      <c r="G19" t="n">
        <v>32</v>
      </c>
      <c r="H19" t="n">
        <v>4</v>
      </c>
      <c r="I19" t="n">
        <v>2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/>
    </row>
    <row r="20">
      <c r="A20" t="inlineStr">
        <is>
          <t>W4</t>
        </is>
      </c>
      <c r="B20" t="inlineStr">
        <is>
          <t>86µm</t>
        </is>
      </c>
      <c r="C20" t="n">
        <v>86</v>
      </c>
      <c r="D20" t="n">
        <v>60.5</v>
      </c>
      <c r="E20" t="n">
        <v>0.8</v>
      </c>
      <c r="F20">
        <f>IFERROR(ROUND(C20*0.2828/E20,0),"")</f>
        <v/>
      </c>
      <c r="G20" t="n">
        <v>32</v>
      </c>
      <c r="H20" t="n">
        <v>4</v>
      </c>
      <c r="I20" t="n">
        <v>3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/>
    </row>
    <row r="21">
      <c r="A21" t="inlineStr">
        <is>
          <t>W5</t>
        </is>
      </c>
      <c r="B21" t="inlineStr">
        <is>
          <t>86µm</t>
        </is>
      </c>
      <c r="C21" t="n">
        <v>86</v>
      </c>
      <c r="D21" t="n">
        <v>60.5</v>
      </c>
      <c r="E21" t="n">
        <v>0.8</v>
      </c>
      <c r="F21">
        <f>IFERROR(ROUND(C21*0.2828/E21,0),"")</f>
        <v/>
      </c>
      <c r="G21" t="n">
        <v>32</v>
      </c>
      <c r="H21" t="n">
        <v>5</v>
      </c>
      <c r="I21" t="n">
        <v>1</v>
      </c>
      <c r="K21">
        <f>IFERROR(J21/C21,"")</f>
        <v/>
      </c>
      <c r="O21">
        <f>IFERROR((M21-N21)/N21,"")</f>
        <v/>
      </c>
      <c r="P21">
        <f>IF(J21="","",IF(AND(L21="Y",K21&gt;=0.97,K21&lt;=1.03,IFERROR(ABS(O21)&lt;=0.1,FALSE)),"PASS","FAIL"))</f>
        <v/>
      </c>
      <c r="R21" t="inlineStr">
        <is>
          <t>W=5 (86µm서 유효?)</t>
        </is>
      </c>
      <c r="S21">
        <f>IFERROR(STDEV(M21:M23)/AVERAGE(M21:M23),"")</f>
        <v/>
      </c>
      <c r="T21">
        <f>IFERROR(SQRT(((AVERAGE(M21:M23)-N21)/N21)^2+(2*STDEV(M21:M23)/AVERAGE(M21:M23))^2),"")</f>
        <v/>
      </c>
    </row>
    <row r="22">
      <c r="A22" t="inlineStr">
        <is>
          <t>W5</t>
        </is>
      </c>
      <c r="B22" t="inlineStr">
        <is>
          <t>86µm</t>
        </is>
      </c>
      <c r="C22" t="n">
        <v>86</v>
      </c>
      <c r="D22" t="n">
        <v>60.5</v>
      </c>
      <c r="E22" t="n">
        <v>0.8</v>
      </c>
      <c r="F22">
        <f>IFERROR(ROUND(C22*0.2828/E22,0),"")</f>
        <v/>
      </c>
      <c r="G22" t="n">
        <v>32</v>
      </c>
      <c r="H22" t="n">
        <v>5</v>
      </c>
      <c r="I22" t="n">
        <v>2</v>
      </c>
      <c r="K22">
        <f>IFERROR(J22/C22,"")</f>
        <v/>
      </c>
      <c r="O22">
        <f>IFERROR((M22-N22)/N22,"")</f>
        <v/>
      </c>
      <c r="P22">
        <f>IF(J22="","",IF(AND(L22="Y",K22&gt;=0.97,K22&lt;=1.03,IFERROR(ABS(O22)&lt;=0.1,FALSE)),"PASS","FAIL"))</f>
        <v/>
      </c>
      <c r="R22" t="inlineStr"/>
    </row>
    <row r="23">
      <c r="A23" t="inlineStr">
        <is>
          <t>W5</t>
        </is>
      </c>
      <c r="B23" t="inlineStr">
        <is>
          <t>86µm</t>
        </is>
      </c>
      <c r="C23" t="n">
        <v>86</v>
      </c>
      <c r="D23" t="n">
        <v>60.5</v>
      </c>
      <c r="E23" t="n">
        <v>0.8</v>
      </c>
      <c r="F23">
        <f>IFERROR(ROUND(C23*0.2828/E23,0),"")</f>
        <v/>
      </c>
      <c r="G23" t="n">
        <v>32</v>
      </c>
      <c r="H23" t="n">
        <v>5</v>
      </c>
      <c r="I23" t="n">
        <v>3</v>
      </c>
      <c r="K23">
        <f>IFERROR(J23/C23,"")</f>
        <v/>
      </c>
      <c r="O23">
        <f>IFERROR((M23-N23)/N23,"")</f>
        <v/>
      </c>
      <c r="P23">
        <f>IF(J23="","",IF(AND(L23="Y",K23&gt;=0.97,K23&lt;=1.03,IFERROR(ABS(O23)&lt;=0.1,FALSE)),"PASS","FAIL"))</f>
        <v/>
      </c>
      <c r="R23" t="inlineStr"/>
    </row>
    <row r="24">
      <c r="A24" t="inlineStr">
        <is>
          <t>W6</t>
        </is>
      </c>
      <c r="B24" t="inlineStr">
        <is>
          <t>86µm</t>
        </is>
      </c>
      <c r="C24" t="n">
        <v>86</v>
      </c>
      <c r="D24" t="n">
        <v>60.5</v>
      </c>
      <c r="E24" t="n">
        <v>0.8</v>
      </c>
      <c r="F24">
        <f>IFERROR(ROUND(C24*0.2828/E24,0),"")</f>
        <v/>
      </c>
      <c r="G24" t="n">
        <v>32</v>
      </c>
      <c r="H24" t="n">
        <v>6</v>
      </c>
      <c r="I24" t="n">
        <v>1</v>
      </c>
      <c r="K24">
        <f>IFERROR(J24/C24,"")</f>
        <v/>
      </c>
      <c r="O24">
        <f>IFERROR((M24-N24)/N24,"")</f>
        <v/>
      </c>
      <c r="P24">
        <f>IF(J24="","",IF(AND(L24="Y",K24&gt;=0.97,K24&lt;=1.03,IFERROR(ABS(O24)&lt;=0.1,FALSE)),"PASS","FAIL"))</f>
        <v/>
      </c>
      <c r="R24" t="inlineStr">
        <is>
          <t>W=6 (86µm서 유효?)</t>
        </is>
      </c>
      <c r="S24">
        <f>IFERROR(STDEV(M24:M26)/AVERAGE(M24:M26),"")</f>
        <v/>
      </c>
      <c r="T24">
        <f>IFERROR(SQRT(((AVERAGE(M24:M26)-N24)/N24)^2+(2*STDEV(M24:M26)/AVERAGE(M24:M26))^2),"")</f>
        <v/>
      </c>
    </row>
    <row r="25">
      <c r="A25" t="inlineStr">
        <is>
          <t>W6</t>
        </is>
      </c>
      <c r="B25" t="inlineStr">
        <is>
          <t>86µm</t>
        </is>
      </c>
      <c r="C25" t="n">
        <v>86</v>
      </c>
      <c r="D25" t="n">
        <v>60.5</v>
      </c>
      <c r="E25" t="n">
        <v>0.8</v>
      </c>
      <c r="F25">
        <f>IFERROR(ROUND(C25*0.2828/E25,0),"")</f>
        <v/>
      </c>
      <c r="G25" t="n">
        <v>32</v>
      </c>
      <c r="H25" t="n">
        <v>6</v>
      </c>
      <c r="I25" t="n">
        <v>2</v>
      </c>
      <c r="K25">
        <f>IFERROR(J25/C25,"")</f>
        <v/>
      </c>
      <c r="O25">
        <f>IFERROR((M25-N25)/N25,"")</f>
        <v/>
      </c>
      <c r="P25">
        <f>IF(J25="","",IF(AND(L25="Y",K25&gt;=0.97,K25&lt;=1.03,IFERROR(ABS(O25)&lt;=0.1,FALSE)),"PASS","FAIL"))</f>
        <v/>
      </c>
      <c r="R25" t="inlineStr"/>
    </row>
    <row r="26">
      <c r="A26" t="inlineStr">
        <is>
          <t>W6</t>
        </is>
      </c>
      <c r="B26" t="inlineStr">
        <is>
          <t>86µm</t>
        </is>
      </c>
      <c r="C26" t="n">
        <v>86</v>
      </c>
      <c r="D26" t="n">
        <v>60.5</v>
      </c>
      <c r="E26" t="n">
        <v>0.8</v>
      </c>
      <c r="F26">
        <f>IFERROR(ROUND(C26*0.2828/E26,0),"")</f>
        <v/>
      </c>
      <c r="G26" t="n">
        <v>32</v>
      </c>
      <c r="H26" t="n">
        <v>6</v>
      </c>
      <c r="I26" t="n">
        <v>3</v>
      </c>
      <c r="K26">
        <f>IFERROR(J26/C26,"")</f>
        <v/>
      </c>
      <c r="O26">
        <f>IFERROR((M26-N26)/N26,"")</f>
        <v/>
      </c>
      <c r="P26">
        <f>IF(J26="","",IF(AND(L26="Y",K26&gt;=0.97,K26&lt;=1.03,IFERROR(ABS(O26)&lt;=0.1,FALSE)),"PASS","FAIL"))</f>
        <v/>
      </c>
      <c r="R26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Phase3_교호작용</t>
        </is>
      </c>
    </row>
    <row r="2">
      <c r="A2" s="10" t="inlineStr">
        <is>
          <t>R×F(26µm 광자부족 회복)·R×W(86µm)·W×F(86µm) + kV×F·kV×W 가드.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  <c r="S5" s="11" t="inlineStr">
        <is>
          <t>void%σ_rel(자동)</t>
        </is>
      </c>
      <c r="T5" s="11" t="inlineStr">
        <is>
          <t>총오차_rel(자동)≤0.10</t>
        </is>
      </c>
    </row>
    <row r="6">
      <c r="A6" t="inlineStr">
        <is>
          <t>RF</t>
        </is>
      </c>
      <c r="B6" t="inlineStr">
        <is>
          <t>26µm</t>
        </is>
      </c>
      <c r="C6" t="n">
        <v>26</v>
      </c>
      <c r="D6" t="n">
        <v>56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R0.2×F32(N37)</t>
        </is>
      </c>
      <c r="S6">
        <f>IFERROR(STDEV(M6:M7)/AVERAGE(M6:M7),"")</f>
        <v/>
      </c>
      <c r="T6">
        <f>IFERROR(SQRT(((AVERAGE(M6:M7)-N6)/N6)^2+(2*STDEV(M6:M7)/AVERAGE(M6:M7))^2),"")</f>
        <v/>
      </c>
    </row>
    <row r="7">
      <c r="A7" t="inlineStr">
        <is>
          <t>RF</t>
        </is>
      </c>
      <c r="B7" t="inlineStr">
        <is>
          <t>26µm</t>
        </is>
      </c>
      <c r="C7" t="n">
        <v>26</v>
      </c>
      <c r="D7" t="n">
        <v>56</v>
      </c>
      <c r="E7" t="n">
        <v>0.2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RF</t>
        </is>
      </c>
      <c r="B8" t="inlineStr">
        <is>
          <t>26µm</t>
        </is>
      </c>
      <c r="C8" t="n">
        <v>26</v>
      </c>
      <c r="D8" t="n">
        <v>56</v>
      </c>
      <c r="E8" t="n">
        <v>0.2</v>
      </c>
      <c r="F8">
        <f>IFERROR(ROUND(C8*0.2828/E8,0),"")</f>
        <v/>
      </c>
      <c r="G8" t="n">
        <v>128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R0.2×F128(N37) 미세+高F 회복?</t>
        </is>
      </c>
      <c r="S8">
        <f>IFERROR(STDEV(M8:M9)/AVERAGE(M8:M9),"")</f>
        <v/>
      </c>
      <c r="T8">
        <f>IFERROR(SQRT(((AVERAGE(M8:M9)-N8)/N8)^2+(2*STDEV(M8:M9)/AVERAGE(M8:M9))^2),"")</f>
        <v/>
      </c>
    </row>
    <row r="9">
      <c r="A9" t="inlineStr">
        <is>
          <t>RF</t>
        </is>
      </c>
      <c r="B9" t="inlineStr">
        <is>
          <t>26µm</t>
        </is>
      </c>
      <c r="C9" t="n">
        <v>26</v>
      </c>
      <c r="D9" t="n">
        <v>56</v>
      </c>
      <c r="E9" t="n">
        <v>0.2</v>
      </c>
      <c r="F9">
        <f>IFERROR(ROUND(C9*0.2828/E9,0),"")</f>
        <v/>
      </c>
      <c r="G9" t="n">
        <v>128</v>
      </c>
      <c r="H9" t="n">
        <v>4</v>
      </c>
      <c r="I9" t="n">
        <v>2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/>
    </row>
    <row r="10">
      <c r="A10" t="inlineStr">
        <is>
          <t>RF</t>
        </is>
      </c>
      <c r="B10" t="inlineStr">
        <is>
          <t>26µm</t>
        </is>
      </c>
      <c r="C10" t="n">
        <v>26</v>
      </c>
      <c r="D10" t="n">
        <v>56</v>
      </c>
      <c r="E10" t="n">
        <v>0.5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R0.5×F32(N15)</t>
        </is>
      </c>
      <c r="S10">
        <f>IFERROR(STDEV(M10:M11)/AVERAGE(M10:M11),"")</f>
        <v/>
      </c>
      <c r="T10">
        <f>IFERROR(SQRT(((AVERAGE(M10:M11)-N10)/N10)^2+(2*STDEV(M10:M11)/AVERAGE(M10:M11))^2),"")</f>
        <v/>
      </c>
    </row>
    <row r="11">
      <c r="A11" t="inlineStr">
        <is>
          <t>RF</t>
        </is>
      </c>
      <c r="B11" t="inlineStr">
        <is>
          <t>26µm</t>
        </is>
      </c>
      <c r="C11" t="n">
        <v>26</v>
      </c>
      <c r="D11" t="n">
        <v>56</v>
      </c>
      <c r="E11" t="n">
        <v>0.5</v>
      </c>
      <c r="F11">
        <f>IFERROR(ROUND(C11*0.2828/E11,0),"")</f>
        <v/>
      </c>
      <c r="G11" t="n">
        <v>32</v>
      </c>
      <c r="H11" t="n">
        <v>4</v>
      </c>
      <c r="I11" t="n">
        <v>2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RF</t>
        </is>
      </c>
      <c r="B12" t="inlineStr">
        <is>
          <t>26µm</t>
        </is>
      </c>
      <c r="C12" t="n">
        <v>26</v>
      </c>
      <c r="D12" t="n">
        <v>56</v>
      </c>
      <c r="E12" t="n">
        <v>0.5</v>
      </c>
      <c r="F12">
        <f>IFERROR(ROUND(C12*0.2828/E12,0),"")</f>
        <v/>
      </c>
      <c r="G12" t="n">
        <v>128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R0.5×F128(N15)</t>
        </is>
      </c>
      <c r="S12">
        <f>IFERROR(STDEV(M12:M13)/AVERAGE(M12:M13),"")</f>
        <v/>
      </c>
      <c r="T12">
        <f>IFERROR(SQRT(((AVERAGE(M12:M13)-N12)/N12)^2+(2*STDEV(M12:M13)/AVERAGE(M12:M13))^2),"")</f>
        <v/>
      </c>
    </row>
    <row r="13">
      <c r="A13" t="inlineStr">
        <is>
          <t>RF</t>
        </is>
      </c>
      <c r="B13" t="inlineStr">
        <is>
          <t>26µm</t>
        </is>
      </c>
      <c r="C13" t="n">
        <v>26</v>
      </c>
      <c r="D13" t="n">
        <v>56</v>
      </c>
      <c r="E13" t="n">
        <v>0.5</v>
      </c>
      <c r="F13">
        <f>IFERROR(ROUND(C13*0.2828/E13,0),"")</f>
        <v/>
      </c>
      <c r="G13" t="n">
        <v>128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RW</t>
        </is>
      </c>
      <c r="B14" t="inlineStr">
        <is>
          <t>86µm</t>
        </is>
      </c>
      <c r="C14" t="n">
        <v>86</v>
      </c>
      <c r="D14" t="n">
        <v>60.5</v>
      </c>
      <c r="E14" t="n">
        <v>0.8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R0.8×W4(N30)</t>
        </is>
      </c>
      <c r="S14">
        <f>IFERROR(STDEV(M14:M15)/AVERAGE(M14:M15),"")</f>
        <v/>
      </c>
      <c r="T14">
        <f>IFERROR(SQRT(((AVERAGE(M14:M15)-N14)/N14)^2+(2*STDEV(M14:M15)/AVERAGE(M14:M15))^2),"")</f>
        <v/>
      </c>
    </row>
    <row r="15">
      <c r="A15" t="inlineStr">
        <is>
          <t>RW</t>
        </is>
      </c>
      <c r="B15" t="inlineStr">
        <is>
          <t>86µm</t>
        </is>
      </c>
      <c r="C15" t="n">
        <v>86</v>
      </c>
      <c r="D15" t="n">
        <v>60.5</v>
      </c>
      <c r="E15" t="n">
        <v>0.8</v>
      </c>
      <c r="F15">
        <f>IFERROR(ROUND(C15*0.2828/E15,0),"")</f>
        <v/>
      </c>
      <c r="G15" t="n">
        <v>32</v>
      </c>
      <c r="H15" t="n">
        <v>4</v>
      </c>
      <c r="I15" t="n">
        <v>2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/>
    </row>
    <row r="16">
      <c r="A16" t="inlineStr">
        <is>
          <t>RW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6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R0.8×W6(N30)</t>
        </is>
      </c>
      <c r="S16">
        <f>IFERROR(STDEV(M16:M17)/AVERAGE(M16:M17),"")</f>
        <v/>
      </c>
      <c r="T16">
        <f>IFERROR(SQRT(((AVERAGE(M16:M17)-N16)/N16)^2+(2*STDEV(M16:M17)/AVERAGE(M16:M17))^2),"")</f>
        <v/>
      </c>
    </row>
    <row r="17">
      <c r="A17" t="inlineStr">
        <is>
          <t>RW</t>
        </is>
      </c>
      <c r="B17" t="inlineStr">
        <is>
          <t>86µm</t>
        </is>
      </c>
      <c r="C17" t="n">
        <v>86</v>
      </c>
      <c r="D17" t="n">
        <v>60.5</v>
      </c>
      <c r="E17" t="n">
        <v>0.8</v>
      </c>
      <c r="F17">
        <f>IFERROR(ROUND(C17*0.2828/E17,0),"")</f>
        <v/>
      </c>
      <c r="G17" t="n">
        <v>32</v>
      </c>
      <c r="H17" t="n">
        <v>6</v>
      </c>
      <c r="I17" t="n">
        <v>2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  <row r="18">
      <c r="A18" t="inlineStr">
        <is>
          <t>RW</t>
        </is>
      </c>
      <c r="B18" t="inlineStr">
        <is>
          <t>86µm</t>
        </is>
      </c>
      <c r="C18" t="n">
        <v>86</v>
      </c>
      <c r="D18" t="n">
        <v>60.5</v>
      </c>
      <c r="E18" t="n">
        <v>1.5</v>
      </c>
      <c r="F18">
        <f>IFERROR(ROUND(C18*0.2828/E18,0),"")</f>
        <v/>
      </c>
      <c r="G18" t="n">
        <v>32</v>
      </c>
      <c r="H18" t="n">
        <v>4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R1.5×W4(N16)</t>
        </is>
      </c>
      <c r="S18">
        <f>IFERROR(STDEV(M18:M19)/AVERAGE(M18:M19),"")</f>
        <v/>
      </c>
      <c r="T18">
        <f>IFERROR(SQRT(((AVERAGE(M18:M19)-N18)/N18)^2+(2*STDEV(M18:M19)/AVERAGE(M18:M19))^2),"")</f>
        <v/>
      </c>
    </row>
    <row r="19">
      <c r="A19" t="inlineStr">
        <is>
          <t>RW</t>
        </is>
      </c>
      <c r="B19" t="inlineStr">
        <is>
          <t>86µm</t>
        </is>
      </c>
      <c r="C19" t="n">
        <v>86</v>
      </c>
      <c r="D19" t="n">
        <v>60.5</v>
      </c>
      <c r="E19" t="n">
        <v>1.5</v>
      </c>
      <c r="F19">
        <f>IFERROR(ROUND(C19*0.2828/E19,0),"")</f>
        <v/>
      </c>
      <c r="G19" t="n">
        <v>32</v>
      </c>
      <c r="H19" t="n">
        <v>4</v>
      </c>
      <c r="I19" t="n">
        <v>2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/>
    </row>
    <row r="20">
      <c r="A20" t="inlineStr">
        <is>
          <t>RW</t>
        </is>
      </c>
      <c r="B20" t="inlineStr">
        <is>
          <t>86µm</t>
        </is>
      </c>
      <c r="C20" t="n">
        <v>86</v>
      </c>
      <c r="D20" t="n">
        <v>60.5</v>
      </c>
      <c r="E20" t="n">
        <v>1.5</v>
      </c>
      <c r="F20">
        <f>IFERROR(ROUND(C20*0.2828/E20,0),"")</f>
        <v/>
      </c>
      <c r="G20" t="n">
        <v>32</v>
      </c>
      <c r="H20" t="n">
        <v>6</v>
      </c>
      <c r="I20" t="n">
        <v>1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>
        <is>
          <t>R1.5×W6(N16) [거친R+高W=빠름]</t>
        </is>
      </c>
      <c r="S20">
        <f>IFERROR(STDEV(M20:M21)/AVERAGE(M20:M21),"")</f>
        <v/>
      </c>
      <c r="T20">
        <f>IFERROR(SQRT(((AVERAGE(M20:M21)-N20)/N20)^2+(2*STDEV(M20:M21)/AVERAGE(M20:M21))^2),"")</f>
        <v/>
      </c>
    </row>
    <row r="21">
      <c r="A21" t="inlineStr">
        <is>
          <t>RW</t>
        </is>
      </c>
      <c r="B21" t="inlineStr">
        <is>
          <t>86µm</t>
        </is>
      </c>
      <c r="C21" t="n">
        <v>86</v>
      </c>
      <c r="D21" t="n">
        <v>60.5</v>
      </c>
      <c r="E21" t="n">
        <v>1.5</v>
      </c>
      <c r="F21">
        <f>IFERROR(ROUND(C21*0.2828/E21,0),"")</f>
        <v/>
      </c>
      <c r="G21" t="n">
        <v>32</v>
      </c>
      <c r="H21" t="n">
        <v>6</v>
      </c>
      <c r="I21" t="n">
        <v>2</v>
      </c>
      <c r="K21">
        <f>IFERROR(J21/C21,"")</f>
        <v/>
      </c>
      <c r="O21">
        <f>IFERROR((M21-N21)/N21,"")</f>
        <v/>
      </c>
      <c r="P21">
        <f>IF(J21="","",IF(AND(L21="Y",K21&gt;=0.97,K21&lt;=1.03,IFERROR(ABS(O21)&lt;=0.1,FALSE)),"PASS","FAIL"))</f>
        <v/>
      </c>
      <c r="R21" t="inlineStr"/>
    </row>
    <row r="22">
      <c r="A22" t="inlineStr">
        <is>
          <t>WF</t>
        </is>
      </c>
      <c r="B22" t="inlineStr">
        <is>
          <t>86µm</t>
        </is>
      </c>
      <c r="C22" t="n">
        <v>86</v>
      </c>
      <c r="D22" t="n">
        <v>60.5</v>
      </c>
      <c r="E22" t="n">
        <v>0.8</v>
      </c>
      <c r="F22">
        <f>IFERROR(ROUND(C22*0.2828/E22,0),"")</f>
        <v/>
      </c>
      <c r="G22" t="n">
        <v>32</v>
      </c>
      <c r="H22" t="n">
        <v>4</v>
      </c>
      <c r="I22" t="n">
        <v>1</v>
      </c>
      <c r="K22">
        <f>IFERROR(J22/C22,"")</f>
        <v/>
      </c>
      <c r="O22">
        <f>IFERROR((M22-N22)/N22,"")</f>
        <v/>
      </c>
      <c r="P22">
        <f>IF(J22="","",IF(AND(L22="Y",K22&gt;=0.97,K22&lt;=1.03,IFERROR(ABS(O22)&lt;=0.1,FALSE)),"PASS","FAIL"))</f>
        <v/>
      </c>
      <c r="R22" t="inlineStr">
        <is>
          <t>W4×F32</t>
        </is>
      </c>
      <c r="S22">
        <f>IFERROR(STDEV(M22:M23)/AVERAGE(M22:M23),"")</f>
        <v/>
      </c>
      <c r="T22">
        <f>IFERROR(SQRT(((AVERAGE(M22:M23)-N22)/N22)^2+(2*STDEV(M22:M23)/AVERAGE(M22:M23))^2),"")</f>
        <v/>
      </c>
    </row>
    <row r="23">
      <c r="A23" t="inlineStr">
        <is>
          <t>WF</t>
        </is>
      </c>
      <c r="B23" t="inlineStr">
        <is>
          <t>86µm</t>
        </is>
      </c>
      <c r="C23" t="n">
        <v>86</v>
      </c>
      <c r="D23" t="n">
        <v>60.5</v>
      </c>
      <c r="E23" t="n">
        <v>0.8</v>
      </c>
      <c r="F23">
        <f>IFERROR(ROUND(C23*0.2828/E23,0),"")</f>
        <v/>
      </c>
      <c r="G23" t="n">
        <v>32</v>
      </c>
      <c r="H23" t="n">
        <v>4</v>
      </c>
      <c r="I23" t="n">
        <v>2</v>
      </c>
      <c r="K23">
        <f>IFERROR(J23/C23,"")</f>
        <v/>
      </c>
      <c r="O23">
        <f>IFERROR((M23-N23)/N23,"")</f>
        <v/>
      </c>
      <c r="P23">
        <f>IF(J23="","",IF(AND(L23="Y",K23&gt;=0.97,K23&lt;=1.03,IFERROR(ABS(O23)&lt;=0.1,FALSE)),"PASS","FAIL"))</f>
        <v/>
      </c>
      <c r="R23" t="inlineStr"/>
    </row>
    <row r="24">
      <c r="A24" t="inlineStr">
        <is>
          <t>WF</t>
        </is>
      </c>
      <c r="B24" t="inlineStr">
        <is>
          <t>86µm</t>
        </is>
      </c>
      <c r="C24" t="n">
        <v>86</v>
      </c>
      <c r="D24" t="n">
        <v>60.5</v>
      </c>
      <c r="E24" t="n">
        <v>0.8</v>
      </c>
      <c r="F24">
        <f>IFERROR(ROUND(C24*0.2828/E24,0),"")</f>
        <v/>
      </c>
      <c r="G24" t="n">
        <v>64</v>
      </c>
      <c r="H24" t="n">
        <v>4</v>
      </c>
      <c r="I24" t="n">
        <v>1</v>
      </c>
      <c r="K24">
        <f>IFERROR(J24/C24,"")</f>
        <v/>
      </c>
      <c r="O24">
        <f>IFERROR((M24-N24)/N24,"")</f>
        <v/>
      </c>
      <c r="P24">
        <f>IF(J24="","",IF(AND(L24="Y",K24&gt;=0.97,K24&lt;=1.03,IFERROR(ABS(O24)&lt;=0.1,FALSE)),"PASS","FAIL"))</f>
        <v/>
      </c>
      <c r="R24" t="inlineStr">
        <is>
          <t>W4×F64</t>
        </is>
      </c>
      <c r="S24">
        <f>IFERROR(STDEV(M24:M25)/AVERAGE(M24:M25),"")</f>
        <v/>
      </c>
      <c r="T24">
        <f>IFERROR(SQRT(((AVERAGE(M24:M25)-N24)/N24)^2+(2*STDEV(M24:M25)/AVERAGE(M24:M25))^2),"")</f>
        <v/>
      </c>
    </row>
    <row r="25">
      <c r="A25" t="inlineStr">
        <is>
          <t>WF</t>
        </is>
      </c>
      <c r="B25" t="inlineStr">
        <is>
          <t>86µm</t>
        </is>
      </c>
      <c r="C25" t="n">
        <v>86</v>
      </c>
      <c r="D25" t="n">
        <v>60.5</v>
      </c>
      <c r="E25" t="n">
        <v>0.8</v>
      </c>
      <c r="F25">
        <f>IFERROR(ROUND(C25*0.2828/E25,0),"")</f>
        <v/>
      </c>
      <c r="G25" t="n">
        <v>64</v>
      </c>
      <c r="H25" t="n">
        <v>4</v>
      </c>
      <c r="I25" t="n">
        <v>2</v>
      </c>
      <c r="K25">
        <f>IFERROR(J25/C25,"")</f>
        <v/>
      </c>
      <c r="O25">
        <f>IFERROR((M25-N25)/N25,"")</f>
        <v/>
      </c>
      <c r="P25">
        <f>IF(J25="","",IF(AND(L25="Y",K25&gt;=0.97,K25&lt;=1.03,IFERROR(ABS(O25)&lt;=0.1,FALSE)),"PASS","FAIL"))</f>
        <v/>
      </c>
      <c r="R25" t="inlineStr"/>
    </row>
    <row r="26">
      <c r="A26" t="inlineStr">
        <is>
          <t>WF</t>
        </is>
      </c>
      <c r="B26" t="inlineStr">
        <is>
          <t>86µm</t>
        </is>
      </c>
      <c r="C26" t="n">
        <v>86</v>
      </c>
      <c r="D26" t="n">
        <v>60.5</v>
      </c>
      <c r="E26" t="n">
        <v>0.8</v>
      </c>
      <c r="F26">
        <f>IFERROR(ROUND(C26*0.2828/E26,0),"")</f>
        <v/>
      </c>
      <c r="G26" t="n">
        <v>32</v>
      </c>
      <c r="H26" t="n">
        <v>6</v>
      </c>
      <c r="I26" t="n">
        <v>1</v>
      </c>
      <c r="K26">
        <f>IFERROR(J26/C26,"")</f>
        <v/>
      </c>
      <c r="O26">
        <f>IFERROR((M26-N26)/N26,"")</f>
        <v/>
      </c>
      <c r="P26">
        <f>IF(J26="","",IF(AND(L26="Y",K26&gt;=0.97,K26&lt;=1.03,IFERROR(ABS(O26)&lt;=0.1,FALSE)),"PASS","FAIL"))</f>
        <v/>
      </c>
      <c r="R26" t="inlineStr">
        <is>
          <t>W6×F32</t>
        </is>
      </c>
      <c r="S26">
        <f>IFERROR(STDEV(M26:M27)/AVERAGE(M26:M27),"")</f>
        <v/>
      </c>
      <c r="T26">
        <f>IFERROR(SQRT(((AVERAGE(M26:M27)-N26)/N26)^2+(2*STDEV(M26:M27)/AVERAGE(M26:M27))^2),"")</f>
        <v/>
      </c>
    </row>
    <row r="27">
      <c r="A27" t="inlineStr">
        <is>
          <t>WF</t>
        </is>
      </c>
      <c r="B27" t="inlineStr">
        <is>
          <t>86µm</t>
        </is>
      </c>
      <c r="C27" t="n">
        <v>86</v>
      </c>
      <c r="D27" t="n">
        <v>60.5</v>
      </c>
      <c r="E27" t="n">
        <v>0.8</v>
      </c>
      <c r="F27">
        <f>IFERROR(ROUND(C27*0.2828/E27,0),"")</f>
        <v/>
      </c>
      <c r="G27" t="n">
        <v>32</v>
      </c>
      <c r="H27" t="n">
        <v>6</v>
      </c>
      <c r="I27" t="n">
        <v>2</v>
      </c>
      <c r="K27">
        <f>IFERROR(J27/C27,"")</f>
        <v/>
      </c>
      <c r="O27">
        <f>IFERROR((M27-N27)/N27,"")</f>
        <v/>
      </c>
      <c r="P27">
        <f>IF(J27="","",IF(AND(L27="Y",K27&gt;=0.97,K27&lt;=1.03,IFERROR(ABS(O27)&lt;=0.1,FALSE)),"PASS","FAIL"))</f>
        <v/>
      </c>
      <c r="R27" t="inlineStr"/>
    </row>
    <row r="28">
      <c r="A28" t="inlineStr">
        <is>
          <t>WF</t>
        </is>
      </c>
      <c r="B28" t="inlineStr">
        <is>
          <t>86µm</t>
        </is>
      </c>
      <c r="C28" t="n">
        <v>86</v>
      </c>
      <c r="D28" t="n">
        <v>60.5</v>
      </c>
      <c r="E28" t="n">
        <v>0.8</v>
      </c>
      <c r="F28">
        <f>IFERROR(ROUND(C28*0.2828/E28,0),"")</f>
        <v/>
      </c>
      <c r="G28" t="n">
        <v>64</v>
      </c>
      <c r="H28" t="n">
        <v>6</v>
      </c>
      <c r="I28" t="n">
        <v>1</v>
      </c>
      <c r="K28">
        <f>IFERROR(J28/C28,"")</f>
        <v/>
      </c>
      <c r="O28">
        <f>IFERROR((M28-N28)/N28,"")</f>
        <v/>
      </c>
      <c r="P28">
        <f>IF(J28="","",IF(AND(L28="Y",K28&gt;=0.97,K28&lt;=1.03,IFERROR(ABS(O28)&lt;=0.1,FALSE)),"PASS","FAIL"))</f>
        <v/>
      </c>
      <c r="R28" t="inlineStr">
        <is>
          <t>W6×F64</t>
        </is>
      </c>
      <c r="S28">
        <f>IFERROR(STDEV(M28:M29)/AVERAGE(M28:M29),"")</f>
        <v/>
      </c>
      <c r="T28">
        <f>IFERROR(SQRT(((AVERAGE(M28:M29)-N28)/N28)^2+(2*STDEV(M28:M29)/AVERAGE(M28:M29))^2),"")</f>
        <v/>
      </c>
    </row>
    <row r="29">
      <c r="A29" t="inlineStr">
        <is>
          <t>WF</t>
        </is>
      </c>
      <c r="B29" t="inlineStr">
        <is>
          <t>86µm</t>
        </is>
      </c>
      <c r="C29" t="n">
        <v>86</v>
      </c>
      <c r="D29" t="n">
        <v>60.5</v>
      </c>
      <c r="E29" t="n">
        <v>0.8</v>
      </c>
      <c r="F29">
        <f>IFERROR(ROUND(C29*0.2828/E29,0),"")</f>
        <v/>
      </c>
      <c r="G29" t="n">
        <v>64</v>
      </c>
      <c r="H29" t="n">
        <v>6</v>
      </c>
      <c r="I29" t="n">
        <v>2</v>
      </c>
      <c r="K29">
        <f>IFERROR(J29/C29,"")</f>
        <v/>
      </c>
      <c r="O29">
        <f>IFERROR((M29-N29)/N29,"")</f>
        <v/>
      </c>
      <c r="P29">
        <f>IF(J29="","",IF(AND(L29="Y",K29&gt;=0.97,K29&lt;=1.03,IFERROR(ABS(O29)&lt;=0.1,FALSE)),"PASS","FAIL"))</f>
        <v/>
      </c>
      <c r="R29" t="inlineStr"/>
    </row>
    <row r="30">
      <c r="A30" t="inlineStr">
        <is>
          <t>gKF</t>
        </is>
      </c>
      <c r="B30" t="inlineStr">
        <is>
          <t>26µm</t>
        </is>
      </c>
      <c r="C30" t="n">
        <v>26</v>
      </c>
      <c r="D30" t="n">
        <v>58</v>
      </c>
      <c r="E30" t="n">
        <v>0.5</v>
      </c>
      <c r="F30">
        <f>IFERROR(ROUND(C30*0.2828/E30,0),"")</f>
        <v/>
      </c>
      <c r="G30" t="n">
        <v>32</v>
      </c>
      <c r="H30" t="n">
        <v>4</v>
      </c>
      <c r="I30" t="n">
        <v>1</v>
      </c>
      <c r="K30">
        <f>IFERROR(J30/C30,"")</f>
        <v/>
      </c>
      <c r="O30">
        <f>IFERROR((M30-N30)/N30,"")</f>
        <v/>
      </c>
      <c r="P30">
        <f>IF(J30="","",IF(AND(L30="Y",K30&gt;=0.97,K30&lt;=1.03,IFERROR(ABS(O30)&lt;=0.1,FALSE)),"PASS","FAIL"))</f>
        <v/>
      </c>
      <c r="R30" t="inlineStr">
        <is>
          <t>kV×F가드: 가장자리kV·F32</t>
        </is>
      </c>
    </row>
    <row r="31">
      <c r="A31" t="inlineStr">
        <is>
          <t>gKF</t>
        </is>
      </c>
      <c r="B31" t="inlineStr">
        <is>
          <t>26µm</t>
        </is>
      </c>
      <c r="C31" t="n">
        <v>26</v>
      </c>
      <c r="D31" t="n">
        <v>58</v>
      </c>
      <c r="E31" t="n">
        <v>0.5</v>
      </c>
      <c r="F31">
        <f>IFERROR(ROUND(C31*0.2828/E31,0),"")</f>
        <v/>
      </c>
      <c r="G31" t="n">
        <v>128</v>
      </c>
      <c r="H31" t="n">
        <v>4</v>
      </c>
      <c r="I31" t="n">
        <v>1</v>
      </c>
      <c r="K31">
        <f>IFERROR(J31/C31,"")</f>
        <v/>
      </c>
      <c r="O31">
        <f>IFERROR((M31-N31)/N31,"")</f>
        <v/>
      </c>
      <c r="P31">
        <f>IF(J31="","",IF(AND(L31="Y",K31&gt;=0.97,K31&lt;=1.03,IFERROR(ABS(O31)&lt;=0.1,FALSE)),"PASS","FAIL"))</f>
        <v/>
      </c>
      <c r="R31" t="inlineStr">
        <is>
          <t>kV×F가드: 가장자리kV·F128 (구제?)</t>
        </is>
      </c>
    </row>
    <row r="32">
      <c r="A32" t="inlineStr">
        <is>
          <t>gKW</t>
        </is>
      </c>
      <c r="B32" t="inlineStr">
        <is>
          <t>86µm</t>
        </is>
      </c>
      <c r="C32" t="n">
        <v>86</v>
      </c>
      <c r="D32" t="n">
        <v>58.5</v>
      </c>
      <c r="E32" t="n">
        <v>0.8</v>
      </c>
      <c r="F32">
        <f>IFERROR(ROUND(C32*0.2828/E32,0),"")</f>
        <v/>
      </c>
      <c r="G32" t="n">
        <v>32</v>
      </c>
      <c r="H32" t="n">
        <v>4</v>
      </c>
      <c r="I32" t="n">
        <v>1</v>
      </c>
      <c r="K32">
        <f>IFERROR(J32/C32,"")</f>
        <v/>
      </c>
      <c r="O32">
        <f>IFERROR((M32-N32)/N32,"")</f>
        <v/>
      </c>
      <c r="P32">
        <f>IF(J32="","",IF(AND(L32="Y",K32&gt;=0.97,K32&lt;=1.03,IFERROR(ABS(O32)&lt;=0.1,FALSE)),"PASS","FAIL"))</f>
        <v/>
      </c>
      <c r="R32" t="inlineStr">
        <is>
          <t>kV×W가드: 저kV·W4</t>
        </is>
      </c>
    </row>
    <row r="33">
      <c r="A33" t="inlineStr">
        <is>
          <t>gKW</t>
        </is>
      </c>
      <c r="B33" t="inlineStr">
        <is>
          <t>86µm</t>
        </is>
      </c>
      <c r="C33" t="n">
        <v>86</v>
      </c>
      <c r="D33" t="n">
        <v>58.5</v>
      </c>
      <c r="E33" t="n">
        <v>0.8</v>
      </c>
      <c r="F33">
        <f>IFERROR(ROUND(C33*0.2828/E33,0),"")</f>
        <v/>
      </c>
      <c r="G33" t="n">
        <v>32</v>
      </c>
      <c r="H33" t="n">
        <v>6</v>
      </c>
      <c r="I33" t="n">
        <v>1</v>
      </c>
      <c r="K33">
        <f>IFERROR(J33/C33,"")</f>
        <v/>
      </c>
      <c r="O33">
        <f>IFERROR((M33-N33)/N33,"")</f>
        <v/>
      </c>
      <c r="P33">
        <f>IF(J33="","",IF(AND(L33="Y",K33&gt;=0.97,K33&lt;=1.03,IFERROR(ABS(O33)&lt;=0.1,FALSE)),"PASS","FAIL"))</f>
        <v/>
      </c>
      <c r="R33" t="inlineStr">
        <is>
          <t>kV×W가드: 저kV·W6 (W 소용?)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Phase4_확인</t>
        </is>
      </c>
    </row>
    <row r="2">
      <c r="A2" s="10" t="inlineStr">
        <is>
          <t>모델 산출로 자재별 ×3반복. 합격: 매칭Y &amp; Q_dia97~103% &amp; 총오차_rel≤10% &amp; tact 최소.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  <c r="S5" s="11" t="inlineStr">
        <is>
          <t>void%σ_rel(자동)</t>
        </is>
      </c>
      <c r="T5" s="11" t="inlineStr">
        <is>
          <t>총오차_rel(자동)≤0.10</t>
        </is>
      </c>
    </row>
    <row r="6">
      <c r="A6" t="inlineStr">
        <is>
          <t>C-26</t>
        </is>
      </c>
      <c r="B6" t="inlineStr">
        <is>
          <t>26µm</t>
        </is>
      </c>
      <c r="C6" t="n">
        <v>26</v>
      </c>
      <c r="D6" t="inlineStr">
        <is>
          <t>(모델kV*≈56)</t>
        </is>
      </c>
      <c r="E6" t="inlineStr">
        <is>
          <t>(모델R,F짝)</t>
        </is>
      </c>
      <c r="F6">
        <f>IFERROR(ROUND(C6*0.2828/E6,0),"")</f>
        <v/>
      </c>
      <c r="G6" t="inlineStr">
        <is>
          <t>(모델F)</t>
        </is>
      </c>
      <c r="H6" t="inlineStr">
        <is>
          <t>4</t>
        </is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26µm 정확도 한계 확인(R×F 결과 반영)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C-26</t>
        </is>
      </c>
      <c r="B7" t="inlineStr">
        <is>
          <t>26µm</t>
        </is>
      </c>
      <c r="C7" t="n">
        <v>26</v>
      </c>
      <c r="D7" t="inlineStr">
        <is>
          <t>(모델kV*≈56)</t>
        </is>
      </c>
      <c r="E7" t="inlineStr">
        <is>
          <t>(모델R,F짝)</t>
        </is>
      </c>
      <c r="F7">
        <f>IFERROR(ROUND(C7*0.2828/E7,0),"")</f>
        <v/>
      </c>
      <c r="G7" t="inlineStr">
        <is>
          <t>(모델F)</t>
        </is>
      </c>
      <c r="H7" t="inlineStr">
        <is>
          <t>4</t>
        </is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C-26</t>
        </is>
      </c>
      <c r="B8" t="inlineStr">
        <is>
          <t>26µm</t>
        </is>
      </c>
      <c r="C8" t="n">
        <v>26</v>
      </c>
      <c r="D8" t="inlineStr">
        <is>
          <t>(모델kV*≈56)</t>
        </is>
      </c>
      <c r="E8" t="inlineStr">
        <is>
          <t>(모델R,F짝)</t>
        </is>
      </c>
      <c r="F8">
        <f>IFERROR(ROUND(C8*0.2828/E8,0),"")</f>
        <v/>
      </c>
      <c r="G8" t="inlineStr">
        <is>
          <t>(모델F)</t>
        </is>
      </c>
      <c r="H8" t="inlineStr">
        <is>
          <t>4</t>
        </is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C-86</t>
        </is>
      </c>
      <c r="B9" t="inlineStr">
        <is>
          <t>86µm</t>
        </is>
      </c>
      <c r="C9" t="n">
        <v>86</v>
      </c>
      <c r="D9" t="inlineStr">
        <is>
          <t>(모델kV*≈60.5)</t>
        </is>
      </c>
      <c r="E9" t="inlineStr">
        <is>
          <t>(모델R)</t>
        </is>
      </c>
      <c r="F9">
        <f>IFERROR(ROUND(C9*0.2828/E9,0),"")</f>
        <v/>
      </c>
      <c r="G9" t="inlineStr">
        <is>
          <t>(모델F)</t>
        </is>
      </c>
      <c r="H9" t="inlineStr">
        <is>
          <t>(모델W)</t>
        </is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정확도 확인 (W로 R 거칠게 최적)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C-86</t>
        </is>
      </c>
      <c r="B10" t="inlineStr">
        <is>
          <t>86µm</t>
        </is>
      </c>
      <c r="C10" t="n">
        <v>86</v>
      </c>
      <c r="D10" t="inlineStr">
        <is>
          <t>(모델kV*≈60.5)</t>
        </is>
      </c>
      <c r="E10" t="inlineStr">
        <is>
          <t>(모델R)</t>
        </is>
      </c>
      <c r="F10">
        <f>IFERROR(ROUND(C10*0.2828/E10,0),"")</f>
        <v/>
      </c>
      <c r="G10" t="inlineStr">
        <is>
          <t>(모델F)</t>
        </is>
      </c>
      <c r="H10" t="inlineStr">
        <is>
          <t>(모델W)</t>
        </is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C-86</t>
        </is>
      </c>
      <c r="B11" t="inlineStr">
        <is>
          <t>86µm</t>
        </is>
      </c>
      <c r="C11" t="n">
        <v>86</v>
      </c>
      <c r="D11" t="inlineStr">
        <is>
          <t>(모델kV*≈60.5)</t>
        </is>
      </c>
      <c r="E11" t="inlineStr">
        <is>
          <t>(모델R)</t>
        </is>
      </c>
      <c r="F11">
        <f>IFERROR(ROUND(C11*0.2828/E11,0),"")</f>
        <v/>
      </c>
      <c r="G11" t="inlineStr">
        <is>
          <t>(모델F)</t>
        </is>
      </c>
      <c r="H11" t="inlineStr">
        <is>
          <t>(모델W)</t>
        </is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역설계 모델 — 측정 가능+정확도(총오차≤10%) 만족 설정 중 최소 tact</t>
        </is>
      </c>
    </row>
    <row r="3">
      <c r="A3" s="3" t="inlineStr">
        <is>
          <t>■ 실측 반영 요점</t>
        </is>
      </c>
    </row>
    <row r="4">
      <c r="A4" s="1" t="inlineStr">
        <is>
          <t>26µm kV*</t>
        </is>
      </c>
      <c r="B4" s="4" t="inlineStr">
        <is>
          <t>≈56 (R0.5·F32서 스윕). 미세R서는 측정 자체가 깨져 kV* 못찾음</t>
        </is>
      </c>
    </row>
    <row r="5">
      <c r="A5" s="1" t="inlineStr">
        <is>
          <t>86µm kV*</t>
        </is>
      </c>
      <c r="B5" s="4" t="inlineStr">
        <is>
          <t>≈60.5 (Q0.999). 안정</t>
        </is>
      </c>
    </row>
    <row r="6">
      <c r="A6" s="1" t="inlineStr">
        <is>
          <t>미세R 규칙</t>
        </is>
      </c>
      <c r="B6" s="4" t="inlineStr">
        <is>
          <t>미세 R엔 高F 필수(광자부족→과소측정·실패). R×F로 회복폭 확정</t>
        </is>
      </c>
    </row>
    <row r="7">
      <c r="A7" s="1" t="inlineStr">
        <is>
          <t>26µm 한계</t>
        </is>
      </c>
      <c r="B7" s="4" t="inlineStr">
        <is>
          <t>미세R 회복 안되면 R0.5(N15)·void정확도~13%가 물리 한계 — 수용 여부 결정 필요</t>
        </is>
      </c>
    </row>
    <row r="9">
      <c r="A9" s="8" t="inlineStr">
        <is>
          <t>■ 역설계 규칙</t>
        </is>
      </c>
    </row>
    <row r="10">
      <c r="A10" s="1" t="inlineStr">
        <is>
          <t>1) kV</t>
        </is>
      </c>
      <c r="B10" s="4" t="inlineStr">
        <is>
          <t>측정되는 (R,F)에서 kV*(D) 트림→측정직경=PD(100%)</t>
        </is>
      </c>
    </row>
    <row r="11">
      <c r="A11" s="1" t="inlineStr">
        <is>
          <t>2) 정확도 순서</t>
        </is>
      </c>
      <c r="B11" s="4" t="inlineStr">
        <is>
          <t>경계 흐리면: 86µm=W↑(공짜)→F↑ / 26µm=F↑ (R하한·측정한계)</t>
        </is>
      </c>
    </row>
    <row r="12">
      <c r="A12" s="1" t="inlineStr">
        <is>
          <t>3) R</t>
        </is>
      </c>
      <c r="B12" s="4" t="inlineStr">
        <is>
          <t>정확도 남으면 R↑(2차, 비쌈)로 shot↓. 미세R 필요시 高F 동반</t>
        </is>
      </c>
    </row>
    <row r="13">
      <c r="A13" s="1" t="inlineStr">
        <is>
          <t>4) 검증</t>
        </is>
      </c>
      <c r="B13" s="4" t="inlineStr">
        <is>
          <t>측정성공 &amp; 총오차≤10% &amp; 매칭 &amp; Q_dia 후 tact</t>
        </is>
      </c>
    </row>
    <row r="15">
      <c r="A15" s="4" t="inlineStr">
        <is>
          <t>※ 확정 계수는 레시피모델·계산기에 반영. 26µm 정확도 한계는 데이터로 확정 후 tolerance 재검토.</t>
        </is>
      </c>
    </row>
    <row r="16"/>
  </sheetData>
  <mergeCells count="9">
    <mergeCell ref="B13:H13"/>
    <mergeCell ref="A15:H16"/>
    <mergeCell ref="B4:H4"/>
    <mergeCell ref="B12:H12"/>
    <mergeCell ref="B6:H6"/>
    <mergeCell ref="B10:H10"/>
    <mergeCell ref="B7:H7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2026-07-09T03:29:32Z</dcterms:created>
  <dcterms:modified xmlns:dcterms="http://purl.org/dc/terms/" xmlns:xsi="http://www.w3.org/2001/XMLSchema-instance" xsi:type="dcterms:W3CDTF">2026-07-09T03:29:32Z</dcterms:modified>
</cp:coreProperties>
</file>