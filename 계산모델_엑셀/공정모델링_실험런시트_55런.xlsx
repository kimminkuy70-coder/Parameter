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[55런 완전판]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런시트는 장비 출력 void%(M열) 그대로 입력. 이 관계는 측정직경=PD(Q_dia=100%)일 때만 성립 → 그래서 kV를 먼저 맞춤.</t>
        </is>
      </c>
    </row>
    <row r="9"/>
    <row r="10"/>
    <row r="12">
      <c r="A12" s="3" t="inlineStr">
        <is>
          <t>■ 측정오차 ε=10% = '픽셀화(해상도)만' → N=2/ε=20 (전 자재 통일) ★</t>
        </is>
      </c>
    </row>
    <row r="13">
      <c r="A13" s="2" t="inlineStr">
        <is>
          <t>void 면적 픽셀화오차 ≈ 2/N. ε=10%로 두면 N=20. 노이즈는 이 10%에 미포함 — Frame으로 σ 별도 관리(정밀도 축 분리). 파라미터_계산기·레시피모델(N_target=20)과 동일 기준. R = √p·D/20 = 0.0141·D → 큰 범프일수록 R↑.</t>
        </is>
      </c>
    </row>
    <row r="14"/>
    <row r="15"/>
    <row r="17">
      <c r="A17" s="4" t="inlineStr">
        <is>
          <t>■ 자재별 R (운영값, N=20)</t>
        </is>
      </c>
    </row>
    <row r="18">
      <c r="A18" s="2" t="inlineStr">
        <is>
          <t>· 26µm: R=0.37 (N20). R하한 0.2에 여유 있음(0.2면 N37로 더 정밀) → 26µm도 10% 무리없이 달성, 특례 불필요. · 158µm: R=2.2 (N20). R스윕 최저점 gold(26µm R0.2·158µm R0.77)은 기준 truth 앵커일 뿐 운영값 아님.</t>
        </is>
      </c>
    </row>
    <row r="19"/>
    <row r="20"/>
    <row r="22">
      <c r="A22" s="4" t="inlineStr">
        <is>
          <t>■ 설계 원리</t>
        </is>
      </c>
    </row>
    <row r="23">
      <c r="A23" s="2" t="inlineStr">
        <is>
          <t>교호작용(kV×R,W×F,×D)→OFAT 불가. [주효과 스윕+의심 교호작용 2×2+같은범프 반복(σ)]. 픽셀화(R)는 10%(N20)로 통일, 노이즈(σ)는 Frame으로 별도 최소화. Ground truth 없어 자기참조(gold)+재현성.</t>
        </is>
      </c>
    </row>
    <row r="24"/>
    <row r="25"/>
  </sheetData>
  <mergeCells count="10">
    <mergeCell ref="A8:H10"/>
    <mergeCell ref="A4:H4"/>
    <mergeCell ref="A12:H12"/>
    <mergeCell ref="A7:H7"/>
    <mergeCell ref="A2:H2"/>
    <mergeCell ref="A23:H25"/>
    <mergeCell ref="B6:H6"/>
    <mergeCell ref="A18:H20"/>
    <mergeCell ref="A13:H15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gold(최정밀행)=기준 truth 앵커. N_target=20(ε10% 픽셀화). 고정 F32·W4.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0.77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N≈37 =gold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0.37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N≈20 =운영(N20)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0.6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N≈12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0.77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N≈58 =gold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N≈20 =운영(N20)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3.5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N≈13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σ(노이즈, 10%와 별개). 26µm=F스윕(R0.37·W4), 158µm=W스윕(R2.2·F32). kV*.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F16</t>
        </is>
      </c>
      <c r="B6" t="inlineStr">
        <is>
          <t>26µm</t>
        </is>
      </c>
      <c r="C6" t="n">
        <v>26</v>
      </c>
      <c r="D6" t="n">
        <v>57.5</v>
      </c>
      <c r="E6" t="n">
        <v>0.37</v>
      </c>
      <c r="F6">
        <f>IFERROR(ROUND(C6*0.2828/E6,0),"")</f>
        <v/>
      </c>
      <c r="G6" t="n">
        <v>16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F=16 재현성</t>
        </is>
      </c>
      <c r="S6">
        <f>IFERROR(STDEV(M6:M8)/AVERAGE(M6:M8),"")</f>
        <v/>
      </c>
    </row>
    <row r="7">
      <c r="A7" t="inlineStr">
        <is>
          <t>F16</t>
        </is>
      </c>
      <c r="B7" t="inlineStr">
        <is>
          <t>26µm</t>
        </is>
      </c>
      <c r="C7" t="n">
        <v>26</v>
      </c>
      <c r="D7" t="n">
        <v>57.5</v>
      </c>
      <c r="E7" t="n">
        <v>0.37</v>
      </c>
      <c r="F7">
        <f>IFERROR(ROUND(C7*0.2828/E7,0),"")</f>
        <v/>
      </c>
      <c r="G7" t="n">
        <v>16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F16</t>
        </is>
      </c>
      <c r="B8" t="inlineStr">
        <is>
          <t>26µm</t>
        </is>
      </c>
      <c r="C8" t="n">
        <v>26</v>
      </c>
      <c r="D8" t="n">
        <v>57.5</v>
      </c>
      <c r="E8" t="n">
        <v>0.37</v>
      </c>
      <c r="F8">
        <f>IFERROR(ROUND(C8*0.2828/E8,0),"")</f>
        <v/>
      </c>
      <c r="G8" t="n">
        <v>16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F32</t>
        </is>
      </c>
      <c r="B9" t="inlineStr">
        <is>
          <t>26µm</t>
        </is>
      </c>
      <c r="C9" t="n">
        <v>26</v>
      </c>
      <c r="D9" t="n">
        <v>57.5</v>
      </c>
      <c r="E9" t="n">
        <v>0.37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F=32 재현성</t>
        </is>
      </c>
      <c r="S9">
        <f>IFERROR(STDEV(M9:M11)/AVERAGE(M9:M11),"")</f>
        <v/>
      </c>
    </row>
    <row r="10">
      <c r="A10" t="inlineStr">
        <is>
          <t>F32</t>
        </is>
      </c>
      <c r="B10" t="inlineStr">
        <is>
          <t>26µm</t>
        </is>
      </c>
      <c r="C10" t="n">
        <v>26</v>
      </c>
      <c r="D10" t="n">
        <v>57.5</v>
      </c>
      <c r="E10" t="n">
        <v>0.37</v>
      </c>
      <c r="F10">
        <f>IFERROR(ROUND(C10*0.2828/E10,0),"")</f>
        <v/>
      </c>
      <c r="G10" t="n">
        <v>32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F32</t>
        </is>
      </c>
      <c r="B11" t="inlineStr">
        <is>
          <t>26µm</t>
        </is>
      </c>
      <c r="C11" t="n">
        <v>26</v>
      </c>
      <c r="D11" t="n">
        <v>57.5</v>
      </c>
      <c r="E11" t="n">
        <v>0.37</v>
      </c>
      <c r="F11">
        <f>IFERROR(ROUND(C11*0.2828/E11,0),"")</f>
        <v/>
      </c>
      <c r="G11" t="n">
        <v>32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F64</t>
        </is>
      </c>
      <c r="B12" t="inlineStr">
        <is>
          <t>26µm</t>
        </is>
      </c>
      <c r="C12" t="n">
        <v>26</v>
      </c>
      <c r="D12" t="n">
        <v>57.5</v>
      </c>
      <c r="E12" t="n">
        <v>0.37</v>
      </c>
      <c r="F12">
        <f>IFERROR(ROUND(C12*0.2828/E12,0),"")</f>
        <v/>
      </c>
      <c r="G12" t="n">
        <v>64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F=64 재현성</t>
        </is>
      </c>
      <c r="S12">
        <f>IFERROR(STDEV(M12:M14)/AVERAGE(M12:M14),"")</f>
        <v/>
      </c>
    </row>
    <row r="13">
      <c r="A13" t="inlineStr">
        <is>
          <t>F64</t>
        </is>
      </c>
      <c r="B13" t="inlineStr">
        <is>
          <t>26µm</t>
        </is>
      </c>
      <c r="C13" t="n">
        <v>26</v>
      </c>
      <c r="D13" t="n">
        <v>57.5</v>
      </c>
      <c r="E13" t="n">
        <v>0.37</v>
      </c>
      <c r="F13">
        <f>IFERROR(ROUND(C13*0.2828/E13,0),"")</f>
        <v/>
      </c>
      <c r="G13" t="n">
        <v>64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F64</t>
        </is>
      </c>
      <c r="B14" t="inlineStr">
        <is>
          <t>26µm</t>
        </is>
      </c>
      <c r="C14" t="n">
        <v>26</v>
      </c>
      <c r="D14" t="n">
        <v>57.5</v>
      </c>
      <c r="E14" t="n">
        <v>0.37</v>
      </c>
      <c r="F14">
        <f>IFERROR(ROUND(C14*0.2828/E14,0),"")</f>
        <v/>
      </c>
      <c r="G14" t="n">
        <v>64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2.2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W=3 재현성·깜빡임</t>
        </is>
      </c>
      <c r="S15">
        <f>IFERROR(STDEV(M15:M17)/AVERAGE(M15:M17),"")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2.2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2.2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W=4 재현성·깜빡임</t>
        </is>
      </c>
      <c r="S18">
        <f>IFERROR(STDEV(M18:M20)/AVERAGE(M18:M20),"")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2.2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2.2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/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2.2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>
        <is>
          <t>W=5 재현성·깜빡임</t>
        </is>
      </c>
      <c r="S21">
        <f>IFERROR(STDEV(M21:M23)/AVERAGE(M21:M23),"")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2.2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/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2.2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/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2.2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>
        <is>
          <t>W=6 재현성·깜빡임</t>
        </is>
      </c>
      <c r="S24">
        <f>IFERROR(STDEV(M24:M26)/AVERAGE(M24:M26),"")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2.2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2.2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IF(J26="","",IF(AND(L26="Y",K26&gt;=0.97,K26&lt;=1.03,IFERROR(ABS(O26)&lt;=0.1,FALSE)),"PASS","FAIL"))</f>
        <v/>
      </c>
      <c r="R26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  <c r="S6">
        <f>IFERROR(STDEV(M6:M7)/AVERAGE(M6:M7),"")</f>
        <v/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0.6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kV55.5×R0.6(N12)</t>
        </is>
      </c>
      <c r="S8">
        <f>IFERROR(STDEV(M8:M9)/AVERAGE(M8:M9),"")</f>
        <v/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55.5</v>
      </c>
      <c r="E9" t="n">
        <v>0.6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kV59.5×R0.2(N37)</t>
        </is>
      </c>
      <c r="S10">
        <f>IFERROR(STDEV(M10:M11)/AVERAGE(M10:M11),"")</f>
        <v/>
      </c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0.6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kV59.5×R0.6(N12)</t>
        </is>
      </c>
      <c r="S12">
        <f>IFERROR(STDEV(M12:M13)/AVERAGE(M12:M13),"")</f>
        <v/>
      </c>
    </row>
    <row r="13">
      <c r="A13" t="inlineStr">
        <is>
          <t>KR</t>
        </is>
      </c>
      <c r="B13" t="inlineStr">
        <is>
          <t>26µm</t>
        </is>
      </c>
      <c r="C13" t="n">
        <v>26</v>
      </c>
      <c r="D13" t="n">
        <v>59.5</v>
      </c>
      <c r="E13" t="n">
        <v>0.6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2.2</v>
      </c>
      <c r="F14">
        <f>IFERROR(ROUND(C14*0.2828/E14,0),"")</f>
        <v/>
      </c>
      <c r="G14" t="n">
        <v>16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W4×F16</t>
        </is>
      </c>
      <c r="S14">
        <f>IFERROR(STDEV(M14:M15)/AVERAGE(M14:M15),"")</f>
        <v/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2.2</v>
      </c>
      <c r="F15">
        <f>IFERROR(ROUND(C15*0.2828/E15,0),"")</f>
        <v/>
      </c>
      <c r="G15" t="n">
        <v>16</v>
      </c>
      <c r="H15" t="n">
        <v>4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W4×F32</t>
        </is>
      </c>
      <c r="S16">
        <f>IFERROR(STDEV(M16:M17)/AVERAGE(M16:M17),"")</f>
        <v/>
      </c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2.2</v>
      </c>
      <c r="F17">
        <f>IFERROR(ROUND(C17*0.2828/E17,0),"")</f>
        <v/>
      </c>
      <c r="G17" t="n">
        <v>32</v>
      </c>
      <c r="H17" t="n">
        <v>4</v>
      </c>
      <c r="I17" t="n">
        <v>2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2.2</v>
      </c>
      <c r="F18">
        <f>IFERROR(ROUND(C18*0.2828/E18,0),"")</f>
        <v/>
      </c>
      <c r="G18" t="n">
        <v>16</v>
      </c>
      <c r="H18" t="n">
        <v>6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W6×F16</t>
        </is>
      </c>
      <c r="S18">
        <f>IFERROR(STDEV(M18:M19)/AVERAGE(M18:M19),"")</f>
        <v/>
      </c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2.2</v>
      </c>
      <c r="F19">
        <f>IFERROR(ROUND(C19*0.2828/E19,0),"")</f>
        <v/>
      </c>
      <c r="G19" t="n">
        <v>16</v>
      </c>
      <c r="H19" t="n">
        <v>6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2.2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W6×F32</t>
        </is>
      </c>
      <c r="S20">
        <f>IFERROR(STDEV(M20:M21)/AVERAGE(M20:M21),"")</f>
        <v/>
      </c>
    </row>
    <row r="21">
      <c r="A21" t="inlineStr">
        <is>
          <t>WF</t>
        </is>
      </c>
      <c r="B21" t="inlineStr">
        <is>
          <t>158µm</t>
        </is>
      </c>
      <c r="C21" t="n">
        <v>158</v>
      </c>
      <c r="D21" t="n">
        <v>60.5</v>
      </c>
      <c r="E21" t="n">
        <v>2.2</v>
      </c>
      <c r="F21">
        <f>IFERROR(ROUND(C21*0.2828/E21,0),"")</f>
        <v/>
      </c>
      <c r="G21" t="n">
        <v>32</v>
      </c>
      <c r="H21" t="n">
        <v>6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σ(별도) 최소 &amp; tact 최소.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(모델R≈0.37)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(모델R≈0.37)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(모델R≈0.37)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(모델R≈2.2)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(모델R≈2.2)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(모델R≈2.2)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</t>
        </is>
      </c>
      <c r="B5" s="2" t="inlineStr">
        <is>
          <t>ε=10% 픽셀화 → N=2/ε=20 (전 자재 통일). Phase1 R스윕으로 검증</t>
        </is>
      </c>
    </row>
    <row r="6">
      <c r="A6" s="1" t="inlineStr">
        <is>
          <t>σ(F)</t>
        </is>
      </c>
      <c r="B6" s="2" t="inlineStr">
        <is>
          <t>Phase2 F스윕: 노이즈 재현성 σ 최소화(10%와 별개 축). 최소 Frame 확정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tact=a·(shot수·F)+b. shot수=ROUNDUP(목표범프/(R²비례))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 = max(0.2, D·√p/20). 큰 범프일수록 R↑ / 26µm는 0.37</t>
        </is>
      </c>
    </row>
    <row r="15">
      <c r="A15" s="1" t="inlineStr">
        <is>
          <t>3) F</t>
        </is>
      </c>
      <c r="B15" s="2" t="inlineStr">
        <is>
          <t>σ(F)에서 목표 σ 되는 최소 F (노이즈 축, 10%와 별개)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보정계수·N_target(=20)에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2026-07-05T13:33:03Z</dcterms:created>
  <dcterms:modified xmlns:dcterms="http://purl.org/dc/terms/" xmlns:xsi="http://www.w3.org/2001/XMLSchema-instance" xsi:type="dcterms:W3CDTF">2026-07-05T13:33:03Z</dcterms:modified>
</cp:coreProperties>
</file>