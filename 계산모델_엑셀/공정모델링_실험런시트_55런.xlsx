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_설명" sheetId="1" state="visible" r:id="rId1"/>
    <sheet xmlns:r="http://schemas.openxmlformats.org/officeDocument/2006/relationships" name="Phase1_주효과_kV·R" sheetId="2" state="visible" r:id="rId2"/>
    <sheet xmlns:r="http://schemas.openxmlformats.org/officeDocument/2006/relationships" name="Phase2_재현성_F·W" sheetId="3" state="visible" r:id="rId3"/>
    <sheet xmlns:r="http://schemas.openxmlformats.org/officeDocument/2006/relationships" name="Phase3_교호작용" sheetId="4" state="visible" r:id="rId4"/>
    <sheet xmlns:r="http://schemas.openxmlformats.org/officeDocument/2006/relationships" name="Phase4_확인" sheetId="5" state="visible" r:id="rId5"/>
    <sheet xmlns:r="http://schemas.openxmlformats.org/officeDocument/2006/relationships" name="분석_역설계모델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1" fillId="3" borderId="0" pivotButton="0" quotePrefix="0" xfId="0"/>
    <xf numFmtId="0" fontId="0" fillId="2" borderId="0" applyAlignment="1" pivotButton="0" quotePrefix="0" xfId="0">
      <alignment vertical="top" wrapText="1"/>
    </xf>
    <xf numFmtId="0" fontId="1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5" customWidth="1" min="1" max="1"/>
    <col width="22" customWidth="1" min="2" max="2"/>
    <col width="1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공정 모델링 실험 런시트 — 설계 설명 [55런 완전판]</t>
        </is>
      </c>
    </row>
    <row r="2">
      <c r="A2" s="2" t="inlineStr">
        <is>
          <t>목표: 모델 구축 시 [PD직경 D 입력] → [최적 kV·R·F·W 자동 결정] 으로 측정직경=100%·void 면적오차≤ε·검사시간 최소.</t>
        </is>
      </c>
    </row>
    <row r="4">
      <c r="A4" s="3" t="inlineStr">
        <is>
          <t>★ 반드시 구분: 두 종류의 'bump diameter'</t>
        </is>
      </c>
    </row>
    <row r="5">
      <c r="A5" s="1" t="inlineStr">
        <is>
          <t>① PD직경 D (독립변수)</t>
        </is>
      </c>
      <c r="B5" s="2" t="inlineStr">
        <is>
          <t>PD로 확인한 실제 범프 직경. 자재 고유·고정(26·158µm). N 설계·자재 구분의 기준.</t>
        </is>
      </c>
    </row>
    <row r="6">
      <c r="A6" s="1" t="inlineStr">
        <is>
          <t>② 측정직경 (종속변수)</t>
        </is>
      </c>
      <c r="B6" s="2" t="inlineStr">
        <is>
          <t>X-ray 검사 결과 직경. kV 등에 따라 변함. 목표는 PD직경의 100%(Q_dia).</t>
        </is>
      </c>
    </row>
    <row r="7">
      <c r="A7" s="3" t="inlineStr">
        <is>
          <t>■ void% 기준 = '측정 bump면적' (실제 .csv 확인)</t>
        </is>
      </c>
    </row>
    <row r="8">
      <c r="A8" s="2" t="inlineStr">
        <is>
          <t>XRA_VOID.csv 검증: 각 범프 Area = π/4·(측정직경)² 로 정확히 일치(오차 0.00). 즉 장비는 void%를 'void면적 ÷ 측정 bump면적'으로 계산하고 8% 판정도 여기에 적용. → 이 런시트는 장비가 출력한 void%를 그대로 입력(M열). 측정직경이 kV로 변하면 분모(측정면적)도 함께 변하지만, 운영점은 측정직경=PD(Q_dia=100%)라 그 지점에선 측정면적=PD면적.</t>
        </is>
      </c>
    </row>
    <row r="9"/>
    <row r="10"/>
    <row r="11"/>
    <row r="13">
      <c r="A13" s="4" t="inlineStr">
        <is>
          <t>■ 각 독립변수의 void 측정 메커니즘</t>
        </is>
      </c>
    </row>
    <row r="14">
      <c r="A14" s="1" t="inlineStr">
        <is>
          <t>kV</t>
        </is>
      </c>
      <c r="B14" s="2" t="inlineStr">
        <is>
          <t>대비 이동→경계 이동→void면적 변화(bias). 측정직경(=void% 분모)도 이동시켜 void%에 이중 작용.</t>
        </is>
      </c>
    </row>
    <row r="15">
      <c r="A15" s="1" t="inlineStr">
        <is>
          <t>R</t>
        </is>
      </c>
      <c r="B15" s="2" t="inlineStr">
        <is>
          <t>픽셀화 오차=2/N (N=0.283·PD직경/R). shot당 범프수·검사시간 ∝R².</t>
        </is>
      </c>
    </row>
    <row r="16">
      <c r="A16" s="1" t="inlineStr">
        <is>
          <t>W</t>
        </is>
      </c>
      <c r="B16" s="2" t="inlineStr">
        <is>
          <t>두꺼운 범프 내부 광자부족→노이즈 void·경계 흔들림. 얇은 범프 둔감.</t>
        </is>
      </c>
    </row>
    <row r="17">
      <c r="A17" s="1" t="inlineStr">
        <is>
          <t>F</t>
        </is>
      </c>
      <c r="B17" s="2" t="inlineStr">
        <is>
          <t>랜덤 노이즈 평균화(∝1/√F)→반복 σ. 시간 정비례.</t>
        </is>
      </c>
    </row>
    <row r="19">
      <c r="A19" s="4" t="inlineStr">
        <is>
          <t>■ 설계 원리</t>
        </is>
      </c>
    </row>
    <row r="20">
      <c r="A20" s="2" t="inlineStr">
        <is>
          <t>교호작용(kV×R,W×F,×D)→OFAT 불가. [주효과 스윕+의심 교호작용 2×2+같은범프 반복(σ)]. ε=10% 총예산 (2/N)²+(2σ)²≤10²→N_target≈29·σ≤3.5%. Ground truth 없어 자기참조(gold)+재현성 평가.</t>
        </is>
      </c>
    </row>
    <row r="21"/>
    <row r="22"/>
  </sheetData>
  <mergeCells count="11">
    <mergeCell ref="A4:H4"/>
    <mergeCell ref="B14:H14"/>
    <mergeCell ref="A8:H11"/>
    <mergeCell ref="B17:H17"/>
    <mergeCell ref="A7:H7"/>
    <mergeCell ref="A2:H2"/>
    <mergeCell ref="A20:H22"/>
    <mergeCell ref="B6:H6"/>
    <mergeCell ref="B16:H16"/>
    <mergeCell ref="B15:H15"/>
    <mergeCell ref="B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</cols>
  <sheetData>
    <row r="1">
      <c r="A1" s="1" t="inlineStr">
        <is>
          <t>Phase1_주효과_kV·R</t>
        </is>
      </c>
    </row>
    <row r="2">
      <c r="A2" s="5" t="inlineStr">
        <is>
          <t>직경 다이얼(kV)·void 픽셀화(R) 스윕. R최소(N58)행=gold → 그 void%를 N열에. 고정 kV스윕:gold R·F32·W4 / R스윕:kV*·F32·W4</t>
        </is>
      </c>
    </row>
    <row r="3">
      <c r="A3" s="2" t="inlineStr">
        <is>
          <t>D(C열)=PD직경(독립·참값) / 측정직경(J열)=검사결과(종속) / void%(M열)=장비 출력(측정면적 기준) 그대로 입력.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</row>
    <row r="6">
      <c r="A6" t="inlineStr">
        <is>
          <t>kV1</t>
        </is>
      </c>
      <c r="B6" t="inlineStr">
        <is>
          <t>26µm</t>
        </is>
      </c>
      <c r="C6" t="n">
        <v>26</v>
      </c>
      <c r="D6" t="n">
        <v>55.5</v>
      </c>
      <c r="E6" t="n">
        <v>0.13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측정직경=PD 되는 kV* 찾기</t>
        </is>
      </c>
    </row>
    <row r="7">
      <c r="A7" t="inlineStr">
        <is>
          <t>kV2</t>
        </is>
      </c>
      <c r="B7" t="inlineStr">
        <is>
          <t>26µm</t>
        </is>
      </c>
      <c r="C7" t="n">
        <v>26</v>
      </c>
      <c r="D7" t="n">
        <v>57.5</v>
      </c>
      <c r="E7" t="n">
        <v>0.13</v>
      </c>
      <c r="F7">
        <f>IFERROR(ROUND(C7*0.2828/E7,0),"")</f>
        <v/>
      </c>
      <c r="G7" t="n">
        <v>32</v>
      </c>
      <c r="H7" t="n">
        <v>4</v>
      </c>
      <c r="I7" t="n">
        <v>1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>
        <is>
          <t>측정직경=PD 되는 kV* 찾기</t>
        </is>
      </c>
    </row>
    <row r="8">
      <c r="A8" t="inlineStr">
        <is>
          <t>kV3</t>
        </is>
      </c>
      <c r="B8" t="inlineStr">
        <is>
          <t>26µm</t>
        </is>
      </c>
      <c r="C8" t="n">
        <v>26</v>
      </c>
      <c r="D8" t="n">
        <v>59.5</v>
      </c>
      <c r="E8" t="n">
        <v>0.13</v>
      </c>
      <c r="F8">
        <f>IFERROR(ROUND(C8*0.2828/E8,0),"")</f>
        <v/>
      </c>
      <c r="G8" t="n">
        <v>32</v>
      </c>
      <c r="H8" t="n">
        <v>4</v>
      </c>
      <c r="I8" t="n">
        <v>1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>
        <is>
          <t>측정직경=PD 되는 kV* 찾기</t>
        </is>
      </c>
    </row>
    <row r="9">
      <c r="A9" t="inlineStr">
        <is>
          <t>kV4</t>
        </is>
      </c>
      <c r="B9" t="inlineStr">
        <is>
          <t>158µm</t>
        </is>
      </c>
      <c r="C9" t="n">
        <v>158</v>
      </c>
      <c r="D9" t="n">
        <v>58.5</v>
      </c>
      <c r="E9" t="n">
        <v>0.77</v>
      </c>
      <c r="F9">
        <f>IFERROR(ROUND(C9*0.2828/E9,0),"")</f>
        <v/>
      </c>
      <c r="G9" t="n">
        <v>32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158µm kV* 찾기</t>
        </is>
      </c>
    </row>
    <row r="10">
      <c r="A10" t="inlineStr">
        <is>
          <t>kV5</t>
        </is>
      </c>
      <c r="B10" t="inlineStr">
        <is>
          <t>158µm</t>
        </is>
      </c>
      <c r="C10" t="n">
        <v>158</v>
      </c>
      <c r="D10" t="n">
        <v>60.5</v>
      </c>
      <c r="E10" t="n">
        <v>0.77</v>
      </c>
      <c r="F10">
        <f>IFERROR(ROUND(C10*0.2828/E10,0),"")</f>
        <v/>
      </c>
      <c r="G10" t="n">
        <v>32</v>
      </c>
      <c r="H10" t="n">
        <v>4</v>
      </c>
      <c r="I10" t="n">
        <v>1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>
        <is>
          <t>158µm kV* 찾기</t>
        </is>
      </c>
    </row>
    <row r="11">
      <c r="A11" t="inlineStr">
        <is>
          <t>kV6</t>
        </is>
      </c>
      <c r="B11" t="inlineStr">
        <is>
          <t>158µm</t>
        </is>
      </c>
      <c r="C11" t="n">
        <v>158</v>
      </c>
      <c r="D11" t="n">
        <v>62.5</v>
      </c>
      <c r="E11" t="n">
        <v>0.77</v>
      </c>
      <c r="F11">
        <f>IFERROR(ROUND(C11*0.2828/E11,0),"")</f>
        <v/>
      </c>
      <c r="G11" t="n">
        <v>32</v>
      </c>
      <c r="H11" t="n">
        <v>4</v>
      </c>
      <c r="I11" t="n">
        <v>1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>
        <is>
          <t>158µm kV* 찾기</t>
        </is>
      </c>
    </row>
    <row r="12">
      <c r="A12" t="inlineStr">
        <is>
          <t>R1</t>
        </is>
      </c>
      <c r="B12" t="inlineStr">
        <is>
          <t>26µm</t>
        </is>
      </c>
      <c r="C12" t="n">
        <v>26</v>
      </c>
      <c r="D12" t="n">
        <v>57.5</v>
      </c>
      <c r="E12" t="n">
        <v>0.13</v>
      </c>
      <c r="F12">
        <f>IFERROR(ROUND(C12*0.2828/E12,0),"")</f>
        <v/>
      </c>
      <c r="G12" t="n">
        <v>32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N=58 =gold</t>
        </is>
      </c>
    </row>
    <row r="13">
      <c r="A13" t="inlineStr">
        <is>
          <t>R2</t>
        </is>
      </c>
      <c r="B13" t="inlineStr">
        <is>
          <t>26µm</t>
        </is>
      </c>
      <c r="C13" t="n">
        <v>26</v>
      </c>
      <c r="D13" t="n">
        <v>57.5</v>
      </c>
      <c r="E13" t="n">
        <v>0.25</v>
      </c>
      <c r="F13">
        <f>IFERROR(ROUND(C13*0.2828/E13,0),"")</f>
        <v/>
      </c>
      <c r="G13" t="n">
        <v>32</v>
      </c>
      <c r="H13" t="n">
        <v>4</v>
      </c>
      <c r="I13" t="n">
        <v>1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>
        <is>
          <t>N=29</t>
        </is>
      </c>
    </row>
    <row r="14">
      <c r="A14" t="inlineStr">
        <is>
          <t>R3</t>
        </is>
      </c>
      <c r="B14" t="inlineStr">
        <is>
          <t>26µm</t>
        </is>
      </c>
      <c r="C14" t="n">
        <v>26</v>
      </c>
      <c r="D14" t="n">
        <v>57.5</v>
      </c>
      <c r="E14" t="n">
        <v>0.53</v>
      </c>
      <c r="F14">
        <f>IFERROR(ROUND(C14*0.2828/E14,0),"")</f>
        <v/>
      </c>
      <c r="G14" t="n">
        <v>32</v>
      </c>
      <c r="H14" t="n">
        <v>4</v>
      </c>
      <c r="I14" t="n">
        <v>1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>
        <is>
          <t>N=14</t>
        </is>
      </c>
    </row>
    <row r="15">
      <c r="A15" t="inlineStr">
        <is>
          <t>R4</t>
        </is>
      </c>
      <c r="B15" t="inlineStr">
        <is>
          <t>158µm</t>
        </is>
      </c>
      <c r="C15" t="n">
        <v>158</v>
      </c>
      <c r="D15" t="n">
        <v>60.5</v>
      </c>
      <c r="E15" t="n">
        <v>0.77</v>
      </c>
      <c r="F15">
        <f>IFERROR(ROUND(C15*0.2828/E15,0),"")</f>
        <v/>
      </c>
      <c r="G15" t="n">
        <v>32</v>
      </c>
      <c r="H15" t="n">
        <v>4</v>
      </c>
      <c r="I15" t="n">
        <v>1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>
        <is>
          <t>N=58 =gold</t>
        </is>
      </c>
    </row>
    <row r="16">
      <c r="A16" t="inlineStr">
        <is>
          <t>R5</t>
        </is>
      </c>
      <c r="B16" t="inlineStr">
        <is>
          <t>158µm</t>
        </is>
      </c>
      <c r="C16" t="n">
        <v>158</v>
      </c>
      <c r="D16" t="n">
        <v>60.5</v>
      </c>
      <c r="E16" t="n">
        <v>1.54</v>
      </c>
      <c r="F16">
        <f>IFERROR(ROUND(C16*0.2828/E16,0),"")</f>
        <v/>
      </c>
      <c r="G16" t="n">
        <v>32</v>
      </c>
      <c r="H16" t="n">
        <v>4</v>
      </c>
      <c r="I16" t="n">
        <v>1</v>
      </c>
      <c r="K16">
        <f>IFERROR(J16/C16,"")</f>
        <v/>
      </c>
      <c r="O16">
        <f>IFERROR((M16-N16)/N16,"")</f>
        <v/>
      </c>
      <c r="P16">
        <f>IF(J16="","",IF(AND(L16="Y",K16&gt;=0.97,K16&lt;=1.03,IFERROR(ABS(O16)&lt;=0.1,FALSE)),"PASS","FAIL"))</f>
        <v/>
      </c>
      <c r="R16" t="inlineStr">
        <is>
          <t>N=29</t>
        </is>
      </c>
    </row>
    <row r="17">
      <c r="A17" t="inlineStr">
        <is>
          <t>R6</t>
        </is>
      </c>
      <c r="B17" t="inlineStr">
        <is>
          <t>158µm</t>
        </is>
      </c>
      <c r="C17" t="n">
        <v>158</v>
      </c>
      <c r="D17" t="n">
        <v>60.5</v>
      </c>
      <c r="E17" t="n">
        <v>3.19</v>
      </c>
      <c r="F17">
        <f>IFERROR(ROUND(C17*0.2828/E17,0),"")</f>
        <v/>
      </c>
      <c r="G17" t="n">
        <v>32</v>
      </c>
      <c r="H17" t="n">
        <v>4</v>
      </c>
      <c r="I17" t="n">
        <v>1</v>
      </c>
      <c r="K17">
        <f>IFERROR(J17/C17,"")</f>
        <v/>
      </c>
      <c r="O17">
        <f>IFERROR((M17-N17)/N17,"")</f>
        <v/>
      </c>
      <c r="P17">
        <f>IF(J17="","",IF(AND(L17="Y",K17&gt;=0.97,K17&lt;=1.03,IFERROR(ABS(O17)&lt;=0.1,FALSE)),"PASS","FAIL"))</f>
        <v/>
      </c>
      <c r="R17" t="inlineStr">
        <is>
          <t>N=14</t>
        </is>
      </c>
    </row>
  </sheetData>
  <mergeCells count="2">
    <mergeCell ref="A3:R3"/>
    <mergeCell ref="A2:R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  <col width="14" customWidth="1" min="19" max="19"/>
  </cols>
  <sheetData>
    <row r="1">
      <c r="A1" s="1" t="inlineStr">
        <is>
          <t>Phase2_재현성_F·W</t>
        </is>
      </c>
    </row>
    <row r="2">
      <c r="A2" s="5" t="inlineStr">
        <is>
          <t>같은 범프 반복→void% σ. 26µm=F스윕(W4), 158µm=W스윕(F32). 고정 kV*·R(N29).</t>
        </is>
      </c>
    </row>
    <row r="3">
      <c r="A3" s="2" t="inlineStr">
        <is>
          <t>D(C열)=PD직경(독립·참값) / 측정직경(J열)=검사결과(종속) / void%(M열)=장비 출력(측정면적 기준) 그대로 입력.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  <c r="S5" s="6" t="inlineStr">
        <is>
          <t>void%σ_rel(자동)</t>
        </is>
      </c>
    </row>
    <row r="6">
      <c r="A6" t="inlineStr">
        <is>
          <t>F16</t>
        </is>
      </c>
      <c r="B6" t="inlineStr">
        <is>
          <t>26µm</t>
        </is>
      </c>
      <c r="C6" t="n">
        <v>26</v>
      </c>
      <c r="D6" t="n">
        <v>57.5</v>
      </c>
      <c r="E6" t="n">
        <v>0.25</v>
      </c>
      <c r="F6">
        <f>IFERROR(ROUND(C6*0.2828/E6,0),"")</f>
        <v/>
      </c>
      <c r="G6" t="n">
        <v>16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F=16 재현성</t>
        </is>
      </c>
      <c r="S6">
        <f>IFERROR(STDEV(M6:M8)/AVERAGE(M6:M8),"")</f>
        <v/>
      </c>
    </row>
    <row r="7">
      <c r="A7" t="inlineStr">
        <is>
          <t>F16</t>
        </is>
      </c>
      <c r="B7" t="inlineStr">
        <is>
          <t>26µm</t>
        </is>
      </c>
      <c r="C7" t="n">
        <v>26</v>
      </c>
      <c r="D7" t="n">
        <v>57.5</v>
      </c>
      <c r="E7" t="n">
        <v>0.25</v>
      </c>
      <c r="F7">
        <f>IFERROR(ROUND(C7*0.2828/E7,0),"")</f>
        <v/>
      </c>
      <c r="G7" t="n">
        <v>16</v>
      </c>
      <c r="H7" t="n">
        <v>4</v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F16</t>
        </is>
      </c>
      <c r="B8" t="inlineStr">
        <is>
          <t>26µm</t>
        </is>
      </c>
      <c r="C8" t="n">
        <v>26</v>
      </c>
      <c r="D8" t="n">
        <v>57.5</v>
      </c>
      <c r="E8" t="n">
        <v>0.25</v>
      </c>
      <c r="F8">
        <f>IFERROR(ROUND(C8*0.2828/E8,0),"")</f>
        <v/>
      </c>
      <c r="G8" t="n">
        <v>16</v>
      </c>
      <c r="H8" t="n">
        <v>4</v>
      </c>
      <c r="I8" t="n">
        <v>3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/>
    </row>
    <row r="9">
      <c r="A9" t="inlineStr">
        <is>
          <t>F32</t>
        </is>
      </c>
      <c r="B9" t="inlineStr">
        <is>
          <t>26µm</t>
        </is>
      </c>
      <c r="C9" t="n">
        <v>26</v>
      </c>
      <c r="D9" t="n">
        <v>57.5</v>
      </c>
      <c r="E9" t="n">
        <v>0.25</v>
      </c>
      <c r="F9">
        <f>IFERROR(ROUND(C9*0.2828/E9,0),"")</f>
        <v/>
      </c>
      <c r="G9" t="n">
        <v>32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F=32 재현성</t>
        </is>
      </c>
      <c r="S9">
        <f>IFERROR(STDEV(M9:M11)/AVERAGE(M9:M11),"")</f>
        <v/>
      </c>
    </row>
    <row r="10">
      <c r="A10" t="inlineStr">
        <is>
          <t>F32</t>
        </is>
      </c>
      <c r="B10" t="inlineStr">
        <is>
          <t>26µm</t>
        </is>
      </c>
      <c r="C10" t="n">
        <v>26</v>
      </c>
      <c r="D10" t="n">
        <v>57.5</v>
      </c>
      <c r="E10" t="n">
        <v>0.25</v>
      </c>
      <c r="F10">
        <f>IFERROR(ROUND(C10*0.2828/E10,0),"")</f>
        <v/>
      </c>
      <c r="G10" t="n">
        <v>32</v>
      </c>
      <c r="H10" t="n">
        <v>4</v>
      </c>
      <c r="I10" t="n">
        <v>2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/>
    </row>
    <row r="11">
      <c r="A11" t="inlineStr">
        <is>
          <t>F32</t>
        </is>
      </c>
      <c r="B11" t="inlineStr">
        <is>
          <t>26µm</t>
        </is>
      </c>
      <c r="C11" t="n">
        <v>26</v>
      </c>
      <c r="D11" t="n">
        <v>57.5</v>
      </c>
      <c r="E11" t="n">
        <v>0.25</v>
      </c>
      <c r="F11">
        <f>IFERROR(ROUND(C11*0.2828/E11,0),"")</f>
        <v/>
      </c>
      <c r="G11" t="n">
        <v>32</v>
      </c>
      <c r="H11" t="n">
        <v>4</v>
      </c>
      <c r="I11" t="n">
        <v>3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/>
    </row>
    <row r="12">
      <c r="A12" t="inlineStr">
        <is>
          <t>F64</t>
        </is>
      </c>
      <c r="B12" t="inlineStr">
        <is>
          <t>26µm</t>
        </is>
      </c>
      <c r="C12" t="n">
        <v>26</v>
      </c>
      <c r="D12" t="n">
        <v>57.5</v>
      </c>
      <c r="E12" t="n">
        <v>0.25</v>
      </c>
      <c r="F12">
        <f>IFERROR(ROUND(C12*0.2828/E12,0),"")</f>
        <v/>
      </c>
      <c r="G12" t="n">
        <v>64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F=64 재현성</t>
        </is>
      </c>
      <c r="S12">
        <f>IFERROR(STDEV(M12:M14)/AVERAGE(M12:M14),"")</f>
        <v/>
      </c>
    </row>
    <row r="13">
      <c r="A13" t="inlineStr">
        <is>
          <t>F64</t>
        </is>
      </c>
      <c r="B13" t="inlineStr">
        <is>
          <t>26µm</t>
        </is>
      </c>
      <c r="C13" t="n">
        <v>26</v>
      </c>
      <c r="D13" t="n">
        <v>57.5</v>
      </c>
      <c r="E13" t="n">
        <v>0.25</v>
      </c>
      <c r="F13">
        <f>IFERROR(ROUND(C13*0.2828/E13,0),"")</f>
        <v/>
      </c>
      <c r="G13" t="n">
        <v>64</v>
      </c>
      <c r="H13" t="n">
        <v>4</v>
      </c>
      <c r="I13" t="n">
        <v>2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/>
    </row>
    <row r="14">
      <c r="A14" t="inlineStr">
        <is>
          <t>F64</t>
        </is>
      </c>
      <c r="B14" t="inlineStr">
        <is>
          <t>26µm</t>
        </is>
      </c>
      <c r="C14" t="n">
        <v>26</v>
      </c>
      <c r="D14" t="n">
        <v>57.5</v>
      </c>
      <c r="E14" t="n">
        <v>0.25</v>
      </c>
      <c r="F14">
        <f>IFERROR(ROUND(C14*0.2828/E14,0),"")</f>
        <v/>
      </c>
      <c r="G14" t="n">
        <v>64</v>
      </c>
      <c r="H14" t="n">
        <v>4</v>
      </c>
      <c r="I14" t="n">
        <v>3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/>
    </row>
    <row r="15">
      <c r="A15" t="inlineStr">
        <is>
          <t>W3</t>
        </is>
      </c>
      <c r="B15" t="inlineStr">
        <is>
          <t>158µm</t>
        </is>
      </c>
      <c r="C15" t="n">
        <v>158</v>
      </c>
      <c r="D15" t="n">
        <v>60.5</v>
      </c>
      <c r="E15" t="n">
        <v>1.54</v>
      </c>
      <c r="F15">
        <f>IFERROR(ROUND(C15*0.2828/E15,0),"")</f>
        <v/>
      </c>
      <c r="G15" t="n">
        <v>32</v>
      </c>
      <c r="H15" t="n">
        <v>3</v>
      </c>
      <c r="I15" t="n">
        <v>1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>
        <is>
          <t>W=3 재현성·깜빡임</t>
        </is>
      </c>
      <c r="S15">
        <f>IFERROR(STDEV(M15:M17)/AVERAGE(M15:M17),"")</f>
        <v/>
      </c>
    </row>
    <row r="16">
      <c r="A16" t="inlineStr">
        <is>
          <t>W3</t>
        </is>
      </c>
      <c r="B16" t="inlineStr">
        <is>
          <t>158µm</t>
        </is>
      </c>
      <c r="C16" t="n">
        <v>158</v>
      </c>
      <c r="D16" t="n">
        <v>60.5</v>
      </c>
      <c r="E16" t="n">
        <v>1.54</v>
      </c>
      <c r="F16">
        <f>IFERROR(ROUND(C16*0.2828/E16,0),"")</f>
        <v/>
      </c>
      <c r="G16" t="n">
        <v>32</v>
      </c>
      <c r="H16" t="n">
        <v>3</v>
      </c>
      <c r="I16" t="n">
        <v>2</v>
      </c>
      <c r="K16">
        <f>IFERROR(J16/C16,"")</f>
        <v/>
      </c>
      <c r="O16">
        <f>IFERROR((M16-N16)/N16,"")</f>
        <v/>
      </c>
      <c r="P16">
        <f>IF(J16="","",IF(AND(L16="Y",K16&gt;=0.97,K16&lt;=1.03,IFERROR(ABS(O16)&lt;=0.1,FALSE)),"PASS","FAIL"))</f>
        <v/>
      </c>
      <c r="R16" t="inlineStr"/>
    </row>
    <row r="17">
      <c r="A17" t="inlineStr">
        <is>
          <t>W3</t>
        </is>
      </c>
      <c r="B17" t="inlineStr">
        <is>
          <t>158µm</t>
        </is>
      </c>
      <c r="C17" t="n">
        <v>158</v>
      </c>
      <c r="D17" t="n">
        <v>60.5</v>
      </c>
      <c r="E17" t="n">
        <v>1.54</v>
      </c>
      <c r="F17">
        <f>IFERROR(ROUND(C17*0.2828/E17,0),"")</f>
        <v/>
      </c>
      <c r="G17" t="n">
        <v>32</v>
      </c>
      <c r="H17" t="n">
        <v>3</v>
      </c>
      <c r="I17" t="n">
        <v>3</v>
      </c>
      <c r="K17">
        <f>IFERROR(J17/C17,"")</f>
        <v/>
      </c>
      <c r="O17">
        <f>IFERROR((M17-N17)/N17,"")</f>
        <v/>
      </c>
      <c r="P17">
        <f>IF(J17="","",IF(AND(L17="Y",K17&gt;=0.97,K17&lt;=1.03,IFERROR(ABS(O17)&lt;=0.1,FALSE)),"PASS","FAIL"))</f>
        <v/>
      </c>
      <c r="R17" t="inlineStr"/>
    </row>
    <row r="18">
      <c r="A18" t="inlineStr">
        <is>
          <t>W4</t>
        </is>
      </c>
      <c r="B18" t="inlineStr">
        <is>
          <t>158µm</t>
        </is>
      </c>
      <c r="C18" t="n">
        <v>158</v>
      </c>
      <c r="D18" t="n">
        <v>60.5</v>
      </c>
      <c r="E18" t="n">
        <v>1.54</v>
      </c>
      <c r="F18">
        <f>IFERROR(ROUND(C18*0.2828/E18,0),"")</f>
        <v/>
      </c>
      <c r="G18" t="n">
        <v>32</v>
      </c>
      <c r="H18" t="n">
        <v>4</v>
      </c>
      <c r="I18" t="n">
        <v>1</v>
      </c>
      <c r="K18">
        <f>IFERROR(J18/C18,"")</f>
        <v/>
      </c>
      <c r="O18">
        <f>IFERROR((M18-N18)/N18,"")</f>
        <v/>
      </c>
      <c r="P18">
        <f>IF(J18="","",IF(AND(L18="Y",K18&gt;=0.97,K18&lt;=1.03,IFERROR(ABS(O18)&lt;=0.1,FALSE)),"PASS","FAIL"))</f>
        <v/>
      </c>
      <c r="R18" t="inlineStr">
        <is>
          <t>W=4 재현성·깜빡임</t>
        </is>
      </c>
      <c r="S18">
        <f>IFERROR(STDEV(M18:M20)/AVERAGE(M18:M20),"")</f>
        <v/>
      </c>
    </row>
    <row r="19">
      <c r="A19" t="inlineStr">
        <is>
          <t>W4</t>
        </is>
      </c>
      <c r="B19" t="inlineStr">
        <is>
          <t>158µm</t>
        </is>
      </c>
      <c r="C19" t="n">
        <v>158</v>
      </c>
      <c r="D19" t="n">
        <v>60.5</v>
      </c>
      <c r="E19" t="n">
        <v>1.54</v>
      </c>
      <c r="F19">
        <f>IFERROR(ROUND(C19*0.2828/E19,0),"")</f>
        <v/>
      </c>
      <c r="G19" t="n">
        <v>32</v>
      </c>
      <c r="H19" t="n">
        <v>4</v>
      </c>
      <c r="I19" t="n">
        <v>2</v>
      </c>
      <c r="K19">
        <f>IFERROR(J19/C19,"")</f>
        <v/>
      </c>
      <c r="O19">
        <f>IFERROR((M19-N19)/N19,"")</f>
        <v/>
      </c>
      <c r="P19">
        <f>IF(J19="","",IF(AND(L19="Y",K19&gt;=0.97,K19&lt;=1.03,IFERROR(ABS(O19)&lt;=0.1,FALSE)),"PASS","FAIL"))</f>
        <v/>
      </c>
      <c r="R19" t="inlineStr"/>
    </row>
    <row r="20">
      <c r="A20" t="inlineStr">
        <is>
          <t>W4</t>
        </is>
      </c>
      <c r="B20" t="inlineStr">
        <is>
          <t>158µm</t>
        </is>
      </c>
      <c r="C20" t="n">
        <v>158</v>
      </c>
      <c r="D20" t="n">
        <v>60.5</v>
      </c>
      <c r="E20" t="n">
        <v>1.54</v>
      </c>
      <c r="F20">
        <f>IFERROR(ROUND(C20*0.2828/E20,0),"")</f>
        <v/>
      </c>
      <c r="G20" t="n">
        <v>32</v>
      </c>
      <c r="H20" t="n">
        <v>4</v>
      </c>
      <c r="I20" t="n">
        <v>3</v>
      </c>
      <c r="K20">
        <f>IFERROR(J20/C20,"")</f>
        <v/>
      </c>
      <c r="O20">
        <f>IFERROR((M20-N20)/N20,"")</f>
        <v/>
      </c>
      <c r="P20">
        <f>IF(J20="","",IF(AND(L20="Y",K20&gt;=0.97,K20&lt;=1.03,IFERROR(ABS(O20)&lt;=0.1,FALSE)),"PASS","FAIL"))</f>
        <v/>
      </c>
      <c r="R20" t="inlineStr"/>
    </row>
    <row r="21">
      <c r="A21" t="inlineStr">
        <is>
          <t>W5</t>
        </is>
      </c>
      <c r="B21" t="inlineStr">
        <is>
          <t>158µm</t>
        </is>
      </c>
      <c r="C21" t="n">
        <v>158</v>
      </c>
      <c r="D21" t="n">
        <v>60.5</v>
      </c>
      <c r="E21" t="n">
        <v>1.54</v>
      </c>
      <c r="F21">
        <f>IFERROR(ROUND(C21*0.2828/E21,0),"")</f>
        <v/>
      </c>
      <c r="G21" t="n">
        <v>32</v>
      </c>
      <c r="H21" t="n">
        <v>5</v>
      </c>
      <c r="I21" t="n">
        <v>1</v>
      </c>
      <c r="K21">
        <f>IFERROR(J21/C21,"")</f>
        <v/>
      </c>
      <c r="O21">
        <f>IFERROR((M21-N21)/N21,"")</f>
        <v/>
      </c>
      <c r="P21">
        <f>IF(J21="","",IF(AND(L21="Y",K21&gt;=0.97,K21&lt;=1.03,IFERROR(ABS(O21)&lt;=0.1,FALSE)),"PASS","FAIL"))</f>
        <v/>
      </c>
      <c r="R21" t="inlineStr">
        <is>
          <t>W=5 재현성·깜빡임</t>
        </is>
      </c>
      <c r="S21">
        <f>IFERROR(STDEV(M21:M23)/AVERAGE(M21:M23),"")</f>
        <v/>
      </c>
    </row>
    <row r="22">
      <c r="A22" t="inlineStr">
        <is>
          <t>W5</t>
        </is>
      </c>
      <c r="B22" t="inlineStr">
        <is>
          <t>158µm</t>
        </is>
      </c>
      <c r="C22" t="n">
        <v>158</v>
      </c>
      <c r="D22" t="n">
        <v>60.5</v>
      </c>
      <c r="E22" t="n">
        <v>1.54</v>
      </c>
      <c r="F22">
        <f>IFERROR(ROUND(C22*0.2828/E22,0),"")</f>
        <v/>
      </c>
      <c r="G22" t="n">
        <v>32</v>
      </c>
      <c r="H22" t="n">
        <v>5</v>
      </c>
      <c r="I22" t="n">
        <v>2</v>
      </c>
      <c r="K22">
        <f>IFERROR(J22/C22,"")</f>
        <v/>
      </c>
      <c r="O22">
        <f>IFERROR((M22-N22)/N22,"")</f>
        <v/>
      </c>
      <c r="P22">
        <f>IF(J22="","",IF(AND(L22="Y",K22&gt;=0.97,K22&lt;=1.03,IFERROR(ABS(O22)&lt;=0.1,FALSE)),"PASS","FAIL"))</f>
        <v/>
      </c>
      <c r="R22" t="inlineStr"/>
    </row>
    <row r="23">
      <c r="A23" t="inlineStr">
        <is>
          <t>W5</t>
        </is>
      </c>
      <c r="B23" t="inlineStr">
        <is>
          <t>158µm</t>
        </is>
      </c>
      <c r="C23" t="n">
        <v>158</v>
      </c>
      <c r="D23" t="n">
        <v>60.5</v>
      </c>
      <c r="E23" t="n">
        <v>1.54</v>
      </c>
      <c r="F23">
        <f>IFERROR(ROUND(C23*0.2828/E23,0),"")</f>
        <v/>
      </c>
      <c r="G23" t="n">
        <v>32</v>
      </c>
      <c r="H23" t="n">
        <v>5</v>
      </c>
      <c r="I23" t="n">
        <v>3</v>
      </c>
      <c r="K23">
        <f>IFERROR(J23/C23,"")</f>
        <v/>
      </c>
      <c r="O23">
        <f>IFERROR((M23-N23)/N23,"")</f>
        <v/>
      </c>
      <c r="P23">
        <f>IF(J23="","",IF(AND(L23="Y",K23&gt;=0.97,K23&lt;=1.03,IFERROR(ABS(O23)&lt;=0.1,FALSE)),"PASS","FAIL"))</f>
        <v/>
      </c>
      <c r="R23" t="inlineStr"/>
    </row>
    <row r="24">
      <c r="A24" t="inlineStr">
        <is>
          <t>W6</t>
        </is>
      </c>
      <c r="B24" t="inlineStr">
        <is>
          <t>158µm</t>
        </is>
      </c>
      <c r="C24" t="n">
        <v>158</v>
      </c>
      <c r="D24" t="n">
        <v>60.5</v>
      </c>
      <c r="E24" t="n">
        <v>1.54</v>
      </c>
      <c r="F24">
        <f>IFERROR(ROUND(C24*0.2828/E24,0),"")</f>
        <v/>
      </c>
      <c r="G24" t="n">
        <v>32</v>
      </c>
      <c r="H24" t="n">
        <v>6</v>
      </c>
      <c r="I24" t="n">
        <v>1</v>
      </c>
      <c r="K24">
        <f>IFERROR(J24/C24,"")</f>
        <v/>
      </c>
      <c r="O24">
        <f>IFERROR((M24-N24)/N24,"")</f>
        <v/>
      </c>
      <c r="P24">
        <f>IF(J24="","",IF(AND(L24="Y",K24&gt;=0.97,K24&lt;=1.03,IFERROR(ABS(O24)&lt;=0.1,FALSE)),"PASS","FAIL"))</f>
        <v/>
      </c>
      <c r="R24" t="inlineStr">
        <is>
          <t>W=6 재현성·깜빡임</t>
        </is>
      </c>
      <c r="S24">
        <f>IFERROR(STDEV(M24:M26)/AVERAGE(M24:M26),"")</f>
        <v/>
      </c>
    </row>
    <row r="25">
      <c r="A25" t="inlineStr">
        <is>
          <t>W6</t>
        </is>
      </c>
      <c r="B25" t="inlineStr">
        <is>
          <t>158µm</t>
        </is>
      </c>
      <c r="C25" t="n">
        <v>158</v>
      </c>
      <c r="D25" t="n">
        <v>60.5</v>
      </c>
      <c r="E25" t="n">
        <v>1.54</v>
      </c>
      <c r="F25">
        <f>IFERROR(ROUND(C25*0.2828/E25,0),"")</f>
        <v/>
      </c>
      <c r="G25" t="n">
        <v>32</v>
      </c>
      <c r="H25" t="n">
        <v>6</v>
      </c>
      <c r="I25" t="n">
        <v>2</v>
      </c>
      <c r="K25">
        <f>IFERROR(J25/C25,"")</f>
        <v/>
      </c>
      <c r="O25">
        <f>IFERROR((M25-N25)/N25,"")</f>
        <v/>
      </c>
      <c r="P25">
        <f>IF(J25="","",IF(AND(L25="Y",K25&gt;=0.97,K25&lt;=1.03,IFERROR(ABS(O25)&lt;=0.1,FALSE)),"PASS","FAIL"))</f>
        <v/>
      </c>
      <c r="R25" t="inlineStr"/>
    </row>
    <row r="26">
      <c r="A26" t="inlineStr">
        <is>
          <t>W6</t>
        </is>
      </c>
      <c r="B26" t="inlineStr">
        <is>
          <t>158µm</t>
        </is>
      </c>
      <c r="C26" t="n">
        <v>158</v>
      </c>
      <c r="D26" t="n">
        <v>60.5</v>
      </c>
      <c r="E26" t="n">
        <v>1.54</v>
      </c>
      <c r="F26">
        <f>IFERROR(ROUND(C26*0.2828/E26,0),"")</f>
        <v/>
      </c>
      <c r="G26" t="n">
        <v>32</v>
      </c>
      <c r="H26" t="n">
        <v>6</v>
      </c>
      <c r="I26" t="n">
        <v>3</v>
      </c>
      <c r="K26">
        <f>IFERROR(J26/C26,"")</f>
        <v/>
      </c>
      <c r="O26">
        <f>IFERROR((M26-N26)/N26,"")</f>
        <v/>
      </c>
      <c r="P26">
        <f>IF(J26="","",IF(AND(L26="Y",K26&gt;=0.97,K26&lt;=1.03,IFERROR(ABS(O26)&lt;=0.1,FALSE)),"PASS","FAIL"))</f>
        <v/>
      </c>
      <c r="R26" t="inlineStr"/>
    </row>
  </sheetData>
  <mergeCells count="2">
    <mergeCell ref="A3:R3"/>
    <mergeCell ref="A2: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  <col width="14" customWidth="1" min="19" max="19"/>
  </cols>
  <sheetData>
    <row r="1">
      <c r="A1" s="1" t="inlineStr">
        <is>
          <t>Phase3_교호작용</t>
        </is>
      </c>
    </row>
    <row r="2">
      <c r="A2" s="5" t="inlineStr">
        <is>
          <t>kV×R(26µm): 대비bias×픽셀화 / W×F(158µm): SNR∝√(W·F) 교환. ×D는 두 자재로 확인.</t>
        </is>
      </c>
    </row>
    <row r="3">
      <c r="A3" s="2" t="inlineStr">
        <is>
          <t>D(C열)=PD직경(독립·참값) / 측정직경(J열)=검사결과(종속) / void%(M열)=장비 출력(측정면적 기준) 그대로 입력.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  <c r="S5" s="6" t="inlineStr">
        <is>
          <t>void%σ_rel(자동)</t>
        </is>
      </c>
    </row>
    <row r="6">
      <c r="A6" t="inlineStr">
        <is>
          <t>KR</t>
        </is>
      </c>
      <c r="B6" t="inlineStr">
        <is>
          <t>26µm</t>
        </is>
      </c>
      <c r="C6" t="n">
        <v>26</v>
      </c>
      <c r="D6" t="n">
        <v>55.5</v>
      </c>
      <c r="E6" t="n">
        <v>0.53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kV55.5×N14</t>
        </is>
      </c>
      <c r="S6">
        <f>IFERROR(STDEV(M6:M7)/AVERAGE(M6:M7),"")</f>
        <v/>
      </c>
    </row>
    <row r="7">
      <c r="A7" t="inlineStr">
        <is>
          <t>KR</t>
        </is>
      </c>
      <c r="B7" t="inlineStr">
        <is>
          <t>26µm</t>
        </is>
      </c>
      <c r="C7" t="n">
        <v>26</v>
      </c>
      <c r="D7" t="n">
        <v>55.5</v>
      </c>
      <c r="E7" t="n">
        <v>0.53</v>
      </c>
      <c r="F7">
        <f>IFERROR(ROUND(C7*0.2828/E7,0),"")</f>
        <v/>
      </c>
      <c r="G7" t="n">
        <v>32</v>
      </c>
      <c r="H7" t="n">
        <v>4</v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KR</t>
        </is>
      </c>
      <c r="B8" t="inlineStr">
        <is>
          <t>26µm</t>
        </is>
      </c>
      <c r="C8" t="n">
        <v>26</v>
      </c>
      <c r="D8" t="n">
        <v>55.5</v>
      </c>
      <c r="E8" t="n">
        <v>0.13</v>
      </c>
      <c r="F8">
        <f>IFERROR(ROUND(C8*0.2828/E8,0),"")</f>
        <v/>
      </c>
      <c r="G8" t="n">
        <v>32</v>
      </c>
      <c r="H8" t="n">
        <v>4</v>
      </c>
      <c r="I8" t="n">
        <v>1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>
        <is>
          <t>kV55.5×N58</t>
        </is>
      </c>
      <c r="S8">
        <f>IFERROR(STDEV(M8:M9)/AVERAGE(M8:M9),"")</f>
        <v/>
      </c>
    </row>
    <row r="9">
      <c r="A9" t="inlineStr">
        <is>
          <t>KR</t>
        </is>
      </c>
      <c r="B9" t="inlineStr">
        <is>
          <t>26µm</t>
        </is>
      </c>
      <c r="C9" t="n">
        <v>26</v>
      </c>
      <c r="D9" t="n">
        <v>55.5</v>
      </c>
      <c r="E9" t="n">
        <v>0.13</v>
      </c>
      <c r="F9">
        <f>IFERROR(ROUND(C9*0.2828/E9,0),"")</f>
        <v/>
      </c>
      <c r="G9" t="n">
        <v>32</v>
      </c>
      <c r="H9" t="n">
        <v>4</v>
      </c>
      <c r="I9" t="n">
        <v>2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/>
    </row>
    <row r="10">
      <c r="A10" t="inlineStr">
        <is>
          <t>KR</t>
        </is>
      </c>
      <c r="B10" t="inlineStr">
        <is>
          <t>26µm</t>
        </is>
      </c>
      <c r="C10" t="n">
        <v>26</v>
      </c>
      <c r="D10" t="n">
        <v>59.5</v>
      </c>
      <c r="E10" t="n">
        <v>0.53</v>
      </c>
      <c r="F10">
        <f>IFERROR(ROUND(C10*0.2828/E10,0),"")</f>
        <v/>
      </c>
      <c r="G10" t="n">
        <v>32</v>
      </c>
      <c r="H10" t="n">
        <v>4</v>
      </c>
      <c r="I10" t="n">
        <v>1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>
        <is>
          <t>kV59.5×N14</t>
        </is>
      </c>
      <c r="S10">
        <f>IFERROR(STDEV(M10:M11)/AVERAGE(M10:M11),"")</f>
        <v/>
      </c>
    </row>
    <row r="11">
      <c r="A11" t="inlineStr">
        <is>
          <t>KR</t>
        </is>
      </c>
      <c r="B11" t="inlineStr">
        <is>
          <t>26µm</t>
        </is>
      </c>
      <c r="C11" t="n">
        <v>26</v>
      </c>
      <c r="D11" t="n">
        <v>59.5</v>
      </c>
      <c r="E11" t="n">
        <v>0.53</v>
      </c>
      <c r="F11">
        <f>IFERROR(ROUND(C11*0.2828/E11,0),"")</f>
        <v/>
      </c>
      <c r="G11" t="n">
        <v>32</v>
      </c>
      <c r="H11" t="n">
        <v>4</v>
      </c>
      <c r="I11" t="n">
        <v>2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/>
    </row>
    <row r="12">
      <c r="A12" t="inlineStr">
        <is>
          <t>KR</t>
        </is>
      </c>
      <c r="B12" t="inlineStr">
        <is>
          <t>26µm</t>
        </is>
      </c>
      <c r="C12" t="n">
        <v>26</v>
      </c>
      <c r="D12" t="n">
        <v>59.5</v>
      </c>
      <c r="E12" t="n">
        <v>0.13</v>
      </c>
      <c r="F12">
        <f>IFERROR(ROUND(C12*0.2828/E12,0),"")</f>
        <v/>
      </c>
      <c r="G12" t="n">
        <v>32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kV59.5×N58</t>
        </is>
      </c>
      <c r="S12">
        <f>IFERROR(STDEV(M12:M13)/AVERAGE(M12:M13),"")</f>
        <v/>
      </c>
    </row>
    <row r="13">
      <c r="A13" t="inlineStr">
        <is>
          <t>KR</t>
        </is>
      </c>
      <c r="B13" t="inlineStr">
        <is>
          <t>26µm</t>
        </is>
      </c>
      <c r="C13" t="n">
        <v>26</v>
      </c>
      <c r="D13" t="n">
        <v>59.5</v>
      </c>
      <c r="E13" t="n">
        <v>0.13</v>
      </c>
      <c r="F13">
        <f>IFERROR(ROUND(C13*0.2828/E13,0),"")</f>
        <v/>
      </c>
      <c r="G13" t="n">
        <v>32</v>
      </c>
      <c r="H13" t="n">
        <v>4</v>
      </c>
      <c r="I13" t="n">
        <v>2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/>
    </row>
    <row r="14">
      <c r="A14" t="inlineStr">
        <is>
          <t>WF</t>
        </is>
      </c>
      <c r="B14" t="inlineStr">
        <is>
          <t>158µm</t>
        </is>
      </c>
      <c r="C14" t="n">
        <v>158</v>
      </c>
      <c r="D14" t="n">
        <v>60.5</v>
      </c>
      <c r="E14" t="n">
        <v>1.54</v>
      </c>
      <c r="F14">
        <f>IFERROR(ROUND(C14*0.2828/E14,0),"")</f>
        <v/>
      </c>
      <c r="G14" t="n">
        <v>16</v>
      </c>
      <c r="H14" t="n">
        <v>4</v>
      </c>
      <c r="I14" t="n">
        <v>1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>
        <is>
          <t>W4×F16</t>
        </is>
      </c>
      <c r="S14">
        <f>IFERROR(STDEV(M14:M15)/AVERAGE(M14:M15),"")</f>
        <v/>
      </c>
    </row>
    <row r="15">
      <c r="A15" t="inlineStr">
        <is>
          <t>WF</t>
        </is>
      </c>
      <c r="B15" t="inlineStr">
        <is>
          <t>158µm</t>
        </is>
      </c>
      <c r="C15" t="n">
        <v>158</v>
      </c>
      <c r="D15" t="n">
        <v>60.5</v>
      </c>
      <c r="E15" t="n">
        <v>1.54</v>
      </c>
      <c r="F15">
        <f>IFERROR(ROUND(C15*0.2828/E15,0),"")</f>
        <v/>
      </c>
      <c r="G15" t="n">
        <v>16</v>
      </c>
      <c r="H15" t="n">
        <v>4</v>
      </c>
      <c r="I15" t="n">
        <v>2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/>
    </row>
    <row r="16">
      <c r="A16" t="inlineStr">
        <is>
          <t>WF</t>
        </is>
      </c>
      <c r="B16" t="inlineStr">
        <is>
          <t>158µm</t>
        </is>
      </c>
      <c r="C16" t="n">
        <v>158</v>
      </c>
      <c r="D16" t="n">
        <v>60.5</v>
      </c>
      <c r="E16" t="n">
        <v>1.54</v>
      </c>
      <c r="F16">
        <f>IFERROR(ROUND(C16*0.2828/E16,0),"")</f>
        <v/>
      </c>
      <c r="G16" t="n">
        <v>32</v>
      </c>
      <c r="H16" t="n">
        <v>4</v>
      </c>
      <c r="I16" t="n">
        <v>1</v>
      </c>
      <c r="K16">
        <f>IFERROR(J16/C16,"")</f>
        <v/>
      </c>
      <c r="O16">
        <f>IFERROR((M16-N16)/N16,"")</f>
        <v/>
      </c>
      <c r="P16">
        <f>IF(J16="","",IF(AND(L16="Y",K16&gt;=0.97,K16&lt;=1.03,IFERROR(ABS(O16)&lt;=0.1,FALSE)),"PASS","FAIL"))</f>
        <v/>
      </c>
      <c r="R16" t="inlineStr">
        <is>
          <t>W4×F32</t>
        </is>
      </c>
      <c r="S16">
        <f>IFERROR(STDEV(M16:M17)/AVERAGE(M16:M17),"")</f>
        <v/>
      </c>
    </row>
    <row r="17">
      <c r="A17" t="inlineStr">
        <is>
          <t>WF</t>
        </is>
      </c>
      <c r="B17" t="inlineStr">
        <is>
          <t>158µm</t>
        </is>
      </c>
      <c r="C17" t="n">
        <v>158</v>
      </c>
      <c r="D17" t="n">
        <v>60.5</v>
      </c>
      <c r="E17" t="n">
        <v>1.54</v>
      </c>
      <c r="F17">
        <f>IFERROR(ROUND(C17*0.2828/E17,0),"")</f>
        <v/>
      </c>
      <c r="G17" t="n">
        <v>32</v>
      </c>
      <c r="H17" t="n">
        <v>4</v>
      </c>
      <c r="I17" t="n">
        <v>2</v>
      </c>
      <c r="K17">
        <f>IFERROR(J17/C17,"")</f>
        <v/>
      </c>
      <c r="O17">
        <f>IFERROR((M17-N17)/N17,"")</f>
        <v/>
      </c>
      <c r="P17">
        <f>IF(J17="","",IF(AND(L17="Y",K17&gt;=0.97,K17&lt;=1.03,IFERROR(ABS(O17)&lt;=0.1,FALSE)),"PASS","FAIL"))</f>
        <v/>
      </c>
      <c r="R17" t="inlineStr"/>
    </row>
    <row r="18">
      <c r="A18" t="inlineStr">
        <is>
          <t>WF</t>
        </is>
      </c>
      <c r="B18" t="inlineStr">
        <is>
          <t>158µm</t>
        </is>
      </c>
      <c r="C18" t="n">
        <v>158</v>
      </c>
      <c r="D18" t="n">
        <v>60.5</v>
      </c>
      <c r="E18" t="n">
        <v>1.54</v>
      </c>
      <c r="F18">
        <f>IFERROR(ROUND(C18*0.2828/E18,0),"")</f>
        <v/>
      </c>
      <c r="G18" t="n">
        <v>16</v>
      </c>
      <c r="H18" t="n">
        <v>6</v>
      </c>
      <c r="I18" t="n">
        <v>1</v>
      </c>
      <c r="K18">
        <f>IFERROR(J18/C18,"")</f>
        <v/>
      </c>
      <c r="O18">
        <f>IFERROR((M18-N18)/N18,"")</f>
        <v/>
      </c>
      <c r="P18">
        <f>IF(J18="","",IF(AND(L18="Y",K18&gt;=0.97,K18&lt;=1.03,IFERROR(ABS(O18)&lt;=0.1,FALSE)),"PASS","FAIL"))</f>
        <v/>
      </c>
      <c r="R18" t="inlineStr">
        <is>
          <t>W6×F16</t>
        </is>
      </c>
      <c r="S18">
        <f>IFERROR(STDEV(M18:M19)/AVERAGE(M18:M19),"")</f>
        <v/>
      </c>
    </row>
    <row r="19">
      <c r="A19" t="inlineStr">
        <is>
          <t>WF</t>
        </is>
      </c>
      <c r="B19" t="inlineStr">
        <is>
          <t>158µm</t>
        </is>
      </c>
      <c r="C19" t="n">
        <v>158</v>
      </c>
      <c r="D19" t="n">
        <v>60.5</v>
      </c>
      <c r="E19" t="n">
        <v>1.54</v>
      </c>
      <c r="F19">
        <f>IFERROR(ROUND(C19*0.2828/E19,0),"")</f>
        <v/>
      </c>
      <c r="G19" t="n">
        <v>16</v>
      </c>
      <c r="H19" t="n">
        <v>6</v>
      </c>
      <c r="I19" t="n">
        <v>2</v>
      </c>
      <c r="K19">
        <f>IFERROR(J19/C19,"")</f>
        <v/>
      </c>
      <c r="O19">
        <f>IFERROR((M19-N19)/N19,"")</f>
        <v/>
      </c>
      <c r="P19">
        <f>IF(J19="","",IF(AND(L19="Y",K19&gt;=0.97,K19&lt;=1.03,IFERROR(ABS(O19)&lt;=0.1,FALSE)),"PASS","FAIL"))</f>
        <v/>
      </c>
      <c r="R19" t="inlineStr"/>
    </row>
    <row r="20">
      <c r="A20" t="inlineStr">
        <is>
          <t>WF</t>
        </is>
      </c>
      <c r="B20" t="inlineStr">
        <is>
          <t>158µm</t>
        </is>
      </c>
      <c r="C20" t="n">
        <v>158</v>
      </c>
      <c r="D20" t="n">
        <v>60.5</v>
      </c>
      <c r="E20" t="n">
        <v>1.54</v>
      </c>
      <c r="F20">
        <f>IFERROR(ROUND(C20*0.2828/E20,0),"")</f>
        <v/>
      </c>
      <c r="G20" t="n">
        <v>32</v>
      </c>
      <c r="H20" t="n">
        <v>6</v>
      </c>
      <c r="I20" t="n">
        <v>1</v>
      </c>
      <c r="K20">
        <f>IFERROR(J20/C20,"")</f>
        <v/>
      </c>
      <c r="O20">
        <f>IFERROR((M20-N20)/N20,"")</f>
        <v/>
      </c>
      <c r="P20">
        <f>IF(J20="","",IF(AND(L20="Y",K20&gt;=0.97,K20&lt;=1.03,IFERROR(ABS(O20)&lt;=0.1,FALSE)),"PASS","FAIL"))</f>
        <v/>
      </c>
      <c r="R20" t="inlineStr">
        <is>
          <t>W6×F32</t>
        </is>
      </c>
      <c r="S20">
        <f>IFERROR(STDEV(M20:M21)/AVERAGE(M20:M21),"")</f>
        <v/>
      </c>
    </row>
    <row r="21">
      <c r="A21" t="inlineStr">
        <is>
          <t>WF</t>
        </is>
      </c>
      <c r="B21" t="inlineStr">
        <is>
          <t>158µm</t>
        </is>
      </c>
      <c r="C21" t="n">
        <v>158</v>
      </c>
      <c r="D21" t="n">
        <v>60.5</v>
      </c>
      <c r="E21" t="n">
        <v>1.54</v>
      </c>
      <c r="F21">
        <f>IFERROR(ROUND(C21*0.2828/E21,0),"")</f>
        <v/>
      </c>
      <c r="G21" t="n">
        <v>32</v>
      </c>
      <c r="H21" t="n">
        <v>6</v>
      </c>
      <c r="I21" t="n">
        <v>2</v>
      </c>
      <c r="K21">
        <f>IFERROR(J21/C21,"")</f>
        <v/>
      </c>
      <c r="O21">
        <f>IFERROR((M21-N21)/N21,"")</f>
        <v/>
      </c>
      <c r="P21">
        <f>IF(J21="","",IF(AND(L21="Y",K21&gt;=0.97,K21&lt;=1.03,IFERROR(ABS(O21)&lt;=0.1,FALSE)),"PASS","FAIL"))</f>
        <v/>
      </c>
      <c r="R21" t="inlineStr"/>
    </row>
  </sheetData>
  <mergeCells count="2">
    <mergeCell ref="A3:R3"/>
    <mergeCell ref="A2:R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  <col width="14" customWidth="1" min="19" max="19"/>
  </cols>
  <sheetData>
    <row r="1">
      <c r="A1" s="1" t="inlineStr">
        <is>
          <t>Phase4_확인</t>
        </is>
      </c>
    </row>
    <row r="2">
      <c r="A2" s="5" t="inlineStr">
        <is>
          <t>모델 산출 (kV,R,F,W)로 자재별 ×3반복. 합격: 매칭Y &amp; Q_dia 97~103% &amp; |void편차|≤10% &amp; σ≤3.5% &amp; tact 최소.</t>
        </is>
      </c>
    </row>
    <row r="3">
      <c r="A3" s="2" t="inlineStr">
        <is>
          <t>D(C열)=PD직경(독립·참값) / 측정직경(J열)=검사결과(종속) / void%(M열)=장비 출력(측정면적 기준) 그대로 입력.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  <c r="S5" s="6" t="inlineStr">
        <is>
          <t>void%σ_rel(자동)</t>
        </is>
      </c>
    </row>
    <row r="6">
      <c r="A6" t="inlineStr">
        <is>
          <t>C-26</t>
        </is>
      </c>
      <c r="B6" t="inlineStr">
        <is>
          <t>26µm</t>
        </is>
      </c>
      <c r="C6" t="n">
        <v>26</v>
      </c>
      <c r="D6" t="inlineStr">
        <is>
          <t>(모델kV*)</t>
        </is>
      </c>
      <c r="E6" t="inlineStr">
        <is>
          <t>(모델R)</t>
        </is>
      </c>
      <c r="F6">
        <f>IFERROR(ROUND(C6*0.2828/E6,0),"")</f>
        <v/>
      </c>
      <c r="G6" t="n">
        <v>32</v>
      </c>
      <c r="H6" t="inlineStr">
        <is>
          <t>(모델W)</t>
        </is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모델 산출값 검증</t>
        </is>
      </c>
      <c r="S6">
        <f>IFERROR(STDEV(M6:M8)/AVERAGE(M6:M8),"")</f>
        <v/>
      </c>
    </row>
    <row r="7">
      <c r="A7" t="inlineStr">
        <is>
          <t>C-26</t>
        </is>
      </c>
      <c r="B7" t="inlineStr">
        <is>
          <t>26µm</t>
        </is>
      </c>
      <c r="C7" t="n">
        <v>26</v>
      </c>
      <c r="D7" t="inlineStr">
        <is>
          <t>(모델kV*)</t>
        </is>
      </c>
      <c r="E7" t="inlineStr">
        <is>
          <t>(모델R)</t>
        </is>
      </c>
      <c r="F7">
        <f>IFERROR(ROUND(C7*0.2828/E7,0),"")</f>
        <v/>
      </c>
      <c r="G7" t="n">
        <v>32</v>
      </c>
      <c r="H7" t="inlineStr">
        <is>
          <t>(모델W)</t>
        </is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C-26</t>
        </is>
      </c>
      <c r="B8" t="inlineStr">
        <is>
          <t>26µm</t>
        </is>
      </c>
      <c r="C8" t="n">
        <v>26</v>
      </c>
      <c r="D8" t="inlineStr">
        <is>
          <t>(모델kV*)</t>
        </is>
      </c>
      <c r="E8" t="inlineStr">
        <is>
          <t>(모델R)</t>
        </is>
      </c>
      <c r="F8">
        <f>IFERROR(ROUND(C8*0.2828/E8,0),"")</f>
        <v/>
      </c>
      <c r="G8" t="n">
        <v>32</v>
      </c>
      <c r="H8" t="inlineStr">
        <is>
          <t>(모델W)</t>
        </is>
      </c>
      <c r="I8" t="n">
        <v>3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/>
    </row>
    <row r="9">
      <c r="A9" t="inlineStr">
        <is>
          <t>C-158</t>
        </is>
      </c>
      <c r="B9" t="inlineStr">
        <is>
          <t>158µm</t>
        </is>
      </c>
      <c r="C9" t="n">
        <v>158</v>
      </c>
      <c r="D9" t="inlineStr">
        <is>
          <t>(모델kV*)</t>
        </is>
      </c>
      <c r="E9" t="inlineStr">
        <is>
          <t>(모델R)</t>
        </is>
      </c>
      <c r="F9">
        <f>IFERROR(ROUND(C9*0.2828/E9,0),"")</f>
        <v/>
      </c>
      <c r="G9" t="n">
        <v>32</v>
      </c>
      <c r="H9" t="inlineStr">
        <is>
          <t>(모델W)</t>
        </is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모델 산출값 검증</t>
        </is>
      </c>
      <c r="S9">
        <f>IFERROR(STDEV(M9:M11)/AVERAGE(M9:M11),"")</f>
        <v/>
      </c>
    </row>
    <row r="10">
      <c r="A10" t="inlineStr">
        <is>
          <t>C-158</t>
        </is>
      </c>
      <c r="B10" t="inlineStr">
        <is>
          <t>158µm</t>
        </is>
      </c>
      <c r="C10" t="n">
        <v>158</v>
      </c>
      <c r="D10" t="inlineStr">
        <is>
          <t>(모델kV*)</t>
        </is>
      </c>
      <c r="E10" t="inlineStr">
        <is>
          <t>(모델R)</t>
        </is>
      </c>
      <c r="F10">
        <f>IFERROR(ROUND(C10*0.2828/E10,0),"")</f>
        <v/>
      </c>
      <c r="G10" t="n">
        <v>32</v>
      </c>
      <c r="H10" t="inlineStr">
        <is>
          <t>(모델W)</t>
        </is>
      </c>
      <c r="I10" t="n">
        <v>2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/>
    </row>
    <row r="11">
      <c r="A11" t="inlineStr">
        <is>
          <t>C-158</t>
        </is>
      </c>
      <c r="B11" t="inlineStr">
        <is>
          <t>158µm</t>
        </is>
      </c>
      <c r="C11" t="n">
        <v>158</v>
      </c>
      <c r="D11" t="inlineStr">
        <is>
          <t>(모델kV*)</t>
        </is>
      </c>
      <c r="E11" t="inlineStr">
        <is>
          <t>(모델R)</t>
        </is>
      </c>
      <c r="F11">
        <f>IFERROR(ROUND(C11*0.2828/E11,0),"")</f>
        <v/>
      </c>
      <c r="G11" t="n">
        <v>32</v>
      </c>
      <c r="H11" t="inlineStr">
        <is>
          <t>(모델W)</t>
        </is>
      </c>
      <c r="I11" t="n">
        <v>3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/>
    </row>
  </sheetData>
  <mergeCells count="2">
    <mergeCell ref="A3:R3"/>
    <mergeCell ref="A2:R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역설계 모델 — 실험 채우면 계수 확정 → PD직경 D 입력 시 최적 파라미터 산출</t>
        </is>
      </c>
    </row>
    <row r="3">
      <c r="A3" s="4" t="inlineStr">
        <is>
          <t>■ 확정할 계수(순전파)</t>
        </is>
      </c>
    </row>
    <row r="4">
      <c r="A4" s="1" t="inlineStr">
        <is>
          <t>kV 직경식</t>
        </is>
      </c>
      <c r="B4" s="2" t="inlineStr">
        <is>
          <t>측정직경/PD=1+s·(kV−kV0). Phase1로 s·kV*(측정=PD 지점)</t>
        </is>
      </c>
    </row>
    <row r="5">
      <c r="A5" s="1" t="inlineStr">
        <is>
          <t>N_target(R)</t>
        </is>
      </c>
      <c r="B5" s="2" t="inlineStr">
        <is>
          <t>Phase1 R스윕: gold 대비 |void편차| 7% 넘는 N. 이론≈29</t>
        </is>
      </c>
    </row>
    <row r="6">
      <c r="A6" s="1" t="inlineStr">
        <is>
          <t>σ(F)</t>
        </is>
      </c>
      <c r="B6" s="2" t="inlineStr">
        <is>
          <t>Phase2 F스윕: void% σ_rel≤3.5% 최소 F</t>
        </is>
      </c>
    </row>
    <row r="7">
      <c r="A7" s="1" t="inlineStr">
        <is>
          <t>W*(두꺼운)</t>
        </is>
      </c>
      <c r="B7" s="2" t="inlineStr">
        <is>
          <t>Phase2 W스윕: 깜빡임0·σ최소·블러가드. 얇은=4W</t>
        </is>
      </c>
    </row>
    <row r="8">
      <c r="A8" s="1" t="inlineStr">
        <is>
          <t>교호작용</t>
        </is>
      </c>
      <c r="B8" s="2" t="inlineStr">
        <is>
          <t>Phase3 kV×R·W×F 계수</t>
        </is>
      </c>
    </row>
    <row r="9">
      <c r="A9" s="1" t="inlineStr">
        <is>
          <t>tact(R,F)</t>
        </is>
      </c>
      <c r="B9" s="2" t="inlineStr">
        <is>
          <t>tact=a·(shot수·F)+b, shot수=ROUNDUP(목표범프/(R²비례))</t>
        </is>
      </c>
    </row>
    <row r="11">
      <c r="A11" s="4" t="inlineStr">
        <is>
          <t>■ 역설계 규칙 (PD직경 D → 파라미터)</t>
        </is>
      </c>
    </row>
    <row r="12">
      <c r="A12" s="1" t="inlineStr">
        <is>
          <t>입력</t>
        </is>
      </c>
      <c r="B12" s="2" t="inlineStr">
        <is>
          <t>PD직경 D, void임계 p(8%), (알면)높이 h</t>
        </is>
      </c>
    </row>
    <row r="13">
      <c r="A13" s="1" t="inlineStr">
        <is>
          <t>1) kV</t>
        </is>
      </c>
      <c r="B13" s="2" t="inlineStr">
        <is>
          <t>kV*(D) 직선서 읽고 1kV씩 트림해 측정직경=PD(100%)</t>
        </is>
      </c>
    </row>
    <row r="14">
      <c r="A14" s="1" t="inlineStr">
        <is>
          <t>2) R</t>
        </is>
      </c>
      <c r="B14" s="2" t="inlineStr">
        <is>
          <t>R=D·√p/N_target</t>
        </is>
      </c>
    </row>
    <row r="15">
      <c r="A15" s="1" t="inlineStr">
        <is>
          <t>3) F</t>
        </is>
      </c>
      <c r="B15" s="2" t="inlineStr">
        <is>
          <t>σ(F)에서 σ_rel≤3.5% 최소 F</t>
        </is>
      </c>
    </row>
    <row r="16">
      <c r="A16" s="1" t="inlineStr">
        <is>
          <t>4) W</t>
        </is>
      </c>
      <c r="B16" s="2" t="inlineStr">
        <is>
          <t>얇으면 4W, 두꺼우면 W*(D). W↑로 F↓ 교환</t>
        </is>
      </c>
    </row>
    <row r="17">
      <c r="A17" s="1" t="inlineStr">
        <is>
          <t>5) 검증</t>
        </is>
      </c>
      <c r="B17" s="2" t="inlineStr">
        <is>
          <t>tact·합격기준 확인, 미달 시 해당 변수만 재조정</t>
        </is>
      </c>
    </row>
    <row r="19">
      <c r="A19" s="2" t="inlineStr">
        <is>
          <t>※ 확정 계수는 레시피모델.xlsx·파라미터_계산기.xlsx 보정계수·N_target에 옮겨 완성.</t>
        </is>
      </c>
    </row>
    <row r="20"/>
  </sheetData>
  <mergeCells count="13">
    <mergeCell ref="B8:H8"/>
    <mergeCell ref="B14:H14"/>
    <mergeCell ref="B17:H17"/>
    <mergeCell ref="B9:H9"/>
    <mergeCell ref="B13:H13"/>
    <mergeCell ref="B4:H4"/>
    <mergeCell ref="B12:H12"/>
    <mergeCell ref="B6:H6"/>
    <mergeCell ref="B16:H16"/>
    <mergeCell ref="B15:H15"/>
    <mergeCell ref="B7:H7"/>
    <mergeCell ref="A19:H20"/>
    <mergeCell ref="B5:H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2026-07-05T12:54:31Z</dcterms:created>
  <dcterms:modified xmlns:dcterms="http://purl.org/dc/terms/" xmlns:xsi="http://www.w3.org/2001/XMLSchema-instance" xsi:type="dcterms:W3CDTF">2026-07-05T12:54:31Z</dcterms:modified>
</cp:coreProperties>
</file>