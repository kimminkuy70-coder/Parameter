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계_설명" sheetId="1" state="visible" r:id="rId1"/>
    <sheet xmlns:r="http://schemas.openxmlformats.org/officeDocument/2006/relationships" name="Phase1_주효과_kV·R" sheetId="2" state="visible" r:id="rId2"/>
    <sheet xmlns:r="http://schemas.openxmlformats.org/officeDocument/2006/relationships" name="Phase2_재현성_F·W" sheetId="3" state="visible" r:id="rId3"/>
    <sheet xmlns:r="http://schemas.openxmlformats.org/officeDocument/2006/relationships" name="Phase3_교호작용" sheetId="4" state="visible" r:id="rId4"/>
    <sheet xmlns:r="http://schemas.openxmlformats.org/officeDocument/2006/relationships" name="Phase4_확인" sheetId="5" state="visible" r:id="rId5"/>
    <sheet xmlns:r="http://schemas.openxmlformats.org/officeDocument/2006/relationships" name="분석_역설계모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공정 모델링 실험 런시트 — 설계 설명 [55런 완전판]</t>
        </is>
      </c>
    </row>
    <row r="2">
      <c r="A2" s="2" t="inlineStr">
        <is>
          <t>대원칙: 정확한 검사결과가 최우선 제약. 시간단축은 '정확도를 지키는 범위 안에서만' 한다(정확도를 시간과 바꾸지 않음).</t>
        </is>
      </c>
    </row>
    <row r="4">
      <c r="A4" s="3" t="inlineStr">
        <is>
          <t>★ 반드시 구분: 두 종류의 'bump diameter'</t>
        </is>
      </c>
    </row>
    <row r="5">
      <c r="A5" s="1" t="inlineStr">
        <is>
          <t>① PD직경 D (독립변수)</t>
        </is>
      </c>
      <c r="B5" s="4" t="inlineStr">
        <is>
          <t>PD로 확인한 실제 범프 직경. 자재 고유·고정(26·158µm). N 설계·자재 구분 기준.</t>
        </is>
      </c>
    </row>
    <row r="6">
      <c r="A6" s="1" t="inlineStr">
        <is>
          <t>② 측정직경 (종속변수)</t>
        </is>
      </c>
      <c r="B6" s="4" t="inlineStr">
        <is>
          <t>X-ray 검사 결과 직경. kV 등에 따라 변함. 목표는 PD직경의 100%(Q_dia).</t>
        </is>
      </c>
    </row>
    <row r="7">
      <c r="A7" s="3" t="inlineStr">
        <is>
          <t>■ void% 기준 = 측정 bump면적 (실제 .csv 확인)</t>
        </is>
      </c>
    </row>
    <row r="8">
      <c r="A8" s="4" t="inlineStr">
        <is>
          <t>XRA_VOID.csv: 범프 Area=π/4·(측정직경)² → void%=void면적÷측정면적. 측정직경=PD(Q_dia=100%)일 때만 성립 → kV 먼저 맞춤.</t>
        </is>
      </c>
    </row>
    <row r="9"/>
    <row r="11">
      <c r="A11" s="3" t="inlineStr">
        <is>
          <t>■ 정확도 정의 = void 총오차 ≤ 10% (픽셀화 ⊕ 노이즈, 제곱합) ★</t>
        </is>
      </c>
    </row>
    <row r="12">
      <c r="A12" s="4" t="inlineStr">
        <is>
          <t>총오차 = √( 평균편차² + (2σ)² ) ≤ 10%. 두 성분을 함께 만족해야 '정확'.</t>
        </is>
      </c>
    </row>
    <row r="13">
      <c r="A13" s="4" t="inlineStr">
        <is>
          <t>· 픽셀화(R): 2/N ≤ ~7% → N_target≈29 (여유 확보). ※ N=20은 픽셀화만으로 10%를 다 써 노이즈 더하면 초과=부정확 → 폐기. · 노이즈(F,W): 2σ ≤ ~7% → σ≤3.5%, Frame으로 확보(F≥32).</t>
        </is>
      </c>
    </row>
    <row r="14"/>
    <row r="15"/>
    <row r="17">
      <c r="A17" s="5" t="inlineStr">
        <is>
          <t>■ 시간단축 지렛대와 '정확도 한계'</t>
        </is>
      </c>
    </row>
    <row r="18">
      <c r="A18" s="1" t="inlineStr">
        <is>
          <t>R 크게=빠름</t>
        </is>
      </c>
      <c r="B18" s="4" t="inlineStr">
        <is>
          <t>N29 주는 R까지만 (26µm 0.25·158µm 1.5). 더 키우면 픽셀화 초과=부정확</t>
        </is>
      </c>
    </row>
    <row r="19">
      <c r="A19" s="1" t="inlineStr">
        <is>
          <t>F 작게=빠름</t>
        </is>
      </c>
      <c r="B19" s="4" t="inlineStr">
        <is>
          <t>σ 지키는 F까지만 (장비 하한 32). 더 낮추면 노이즈 초과=부정확</t>
        </is>
      </c>
    </row>
    <row r="20">
      <c r="A20" s="1" t="inlineStr">
        <is>
          <t>shot 적게=빠름</t>
        </is>
      </c>
      <c r="B20" s="4" t="inlineStr">
        <is>
          <t>per-bump 측정과 무관 → 정확도 안전한 지렛대. 단 표본수·타일 일관성 유지</t>
        </is>
      </c>
    </row>
    <row r="21">
      <c r="A21" s="1" t="inlineStr">
        <is>
          <t>W (두꺼운)</t>
        </is>
      </c>
      <c r="B21" s="4" t="inlineStr">
        <is>
          <t>블러(경계폭)·Q_dia 가드 지키는 선에서만</t>
        </is>
      </c>
    </row>
    <row r="23">
      <c r="A23" s="5" t="inlineStr">
        <is>
          <t>■ 자재별 결론</t>
        </is>
      </c>
    </row>
    <row r="24">
      <c r="A24" s="4" t="inlineStr">
        <is>
          <t>· 26µm: 정확도가 R(0.2~0.25)·F(≥32)를 거의 고정 → 시간여유 적음. 그래도 정확도 우선이라 그대로 감. 남은 안전한 시간지렛대는 shot(검사범프)수. · 158µm: R(1.5)·F에 여유 있어 시간최적 폭 큼.</t>
        </is>
      </c>
    </row>
    <row r="25"/>
    <row r="26"/>
  </sheetData>
  <mergeCells count="14">
    <mergeCell ref="A12:H12"/>
    <mergeCell ref="A4:H4"/>
    <mergeCell ref="B18:H18"/>
    <mergeCell ref="A7:H7"/>
    <mergeCell ref="B19:H19"/>
    <mergeCell ref="B21:H21"/>
    <mergeCell ref="A2:H2"/>
    <mergeCell ref="A24:H26"/>
    <mergeCell ref="B6:H6"/>
    <mergeCell ref="A11:H11"/>
    <mergeCell ref="A13:H15"/>
    <mergeCell ref="B5:H5"/>
    <mergeCell ref="B20:H20"/>
    <mergeCell ref="A8:H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4" customWidth="1" min="18" max="18"/>
  </cols>
  <sheetData>
    <row r="1">
      <c r="A1" s="1" t="inlineStr">
        <is>
          <t>Phase1_주효과_kV·R</t>
        </is>
      </c>
    </row>
    <row r="2">
      <c r="A2" s="6" t="inlineStr">
        <is>
          <t>직경 다이얼(kV)·void 픽셀화(R). gold=기준 앵커. N_target≈29(총오차 예산). 고정 F32·W4.</t>
        </is>
      </c>
    </row>
    <row r="3">
      <c r="A3" s="4" t="inlineStr">
        <is>
          <t>정확도=총오차≤10%(픽셀화⊕노이즈). N_target≈29 · R≥0.2 · F≥32. D=PD직경(독립)/측정직경=종속/void%=장비출력(측정면적).</t>
        </is>
      </c>
    </row>
    <row r="5">
      <c r="A5" s="7" t="inlineStr">
        <is>
          <t>Run</t>
        </is>
      </c>
      <c r="B5" s="7" t="inlineStr">
        <is>
          <t>자재</t>
        </is>
      </c>
      <c r="C5" s="7" t="inlineStr">
        <is>
          <t>PD직경 D(µm)</t>
        </is>
      </c>
      <c r="D5" s="7" t="inlineStr">
        <is>
          <t>kV</t>
        </is>
      </c>
      <c r="E5" s="7" t="inlineStr">
        <is>
          <t>R(µm/px)</t>
        </is>
      </c>
      <c r="F5" s="7" t="inlineStr">
        <is>
          <t>N(자동)</t>
        </is>
      </c>
      <c r="G5" s="7" t="inlineStr">
        <is>
          <t>F</t>
        </is>
      </c>
      <c r="H5" s="7" t="inlineStr">
        <is>
          <t>W</t>
        </is>
      </c>
      <c r="I5" s="7" t="inlineStr">
        <is>
          <t>반복#</t>
        </is>
      </c>
      <c r="J5" s="7" t="inlineStr">
        <is>
          <t>측정직경(µm)</t>
        </is>
      </c>
      <c r="K5" s="7" t="inlineStr">
        <is>
          <t>Q_dia(자동)=측정÷PD</t>
        </is>
      </c>
      <c r="L5" s="7" t="inlineStr">
        <is>
          <t>매칭(Y/N)</t>
        </is>
      </c>
      <c r="M5" s="7" t="inlineStr">
        <is>
          <t>void%(측정,장비값)</t>
        </is>
      </c>
      <c r="N5" s="7" t="inlineStr">
        <is>
          <t>기준gold void%</t>
        </is>
      </c>
      <c r="O5" s="7" t="inlineStr">
        <is>
          <t>void편차%(자동)</t>
        </is>
      </c>
      <c r="P5" s="7" t="inlineStr">
        <is>
          <t>판정(자동)</t>
        </is>
      </c>
      <c r="Q5" s="7" t="inlineStr">
        <is>
          <t>tact(초)</t>
        </is>
      </c>
      <c r="R5" s="7" t="inlineStr">
        <is>
          <t>메모</t>
        </is>
      </c>
    </row>
    <row r="6">
      <c r="A6" t="inlineStr">
        <is>
          <t>kV1</t>
        </is>
      </c>
      <c r="B6" t="inlineStr">
        <is>
          <t>26µm</t>
        </is>
      </c>
      <c r="C6" t="n">
        <v>26</v>
      </c>
      <c r="D6" t="n">
        <v>55.5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측정직경=PD 되는 kV* 찾기</t>
        </is>
      </c>
    </row>
    <row r="7">
      <c r="A7" t="inlineStr">
        <is>
          <t>kV2</t>
        </is>
      </c>
      <c r="B7" t="inlineStr">
        <is>
          <t>26µm</t>
        </is>
      </c>
      <c r="C7" t="n">
        <v>26</v>
      </c>
      <c r="D7" t="n">
        <v>57.5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1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>
        <is>
          <t>측정직경=PD 되는 kV* 찾기</t>
        </is>
      </c>
    </row>
    <row r="8">
      <c r="A8" t="inlineStr">
        <is>
          <t>kV3</t>
        </is>
      </c>
      <c r="B8" t="inlineStr">
        <is>
          <t>26µm</t>
        </is>
      </c>
      <c r="C8" t="n">
        <v>26</v>
      </c>
      <c r="D8" t="n">
        <v>59.5</v>
      </c>
      <c r="E8" t="n">
        <v>0.2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측정직경=PD 되는 kV* 찾기</t>
        </is>
      </c>
    </row>
    <row r="9">
      <c r="A9" t="inlineStr">
        <is>
          <t>kV4</t>
        </is>
      </c>
      <c r="B9" t="inlineStr">
        <is>
          <t>158µm</t>
        </is>
      </c>
      <c r="C9" t="n">
        <v>158</v>
      </c>
      <c r="D9" t="n">
        <v>58.5</v>
      </c>
      <c r="E9" t="n">
        <v>0.77</v>
      </c>
      <c r="F9">
        <f>IFERROR(ROUND(C9*0.2828/E9,0),"")</f>
        <v/>
      </c>
      <c r="G9" t="n">
        <v>32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158µm kV* 찾기</t>
        </is>
      </c>
    </row>
    <row r="10">
      <c r="A10" t="inlineStr">
        <is>
          <t>kV5</t>
        </is>
      </c>
      <c r="B10" t="inlineStr">
        <is>
          <t>158µm</t>
        </is>
      </c>
      <c r="C10" t="n">
        <v>158</v>
      </c>
      <c r="D10" t="n">
        <v>60.5</v>
      </c>
      <c r="E10" t="n">
        <v>0.77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158µm kV* 찾기</t>
        </is>
      </c>
    </row>
    <row r="11">
      <c r="A11" t="inlineStr">
        <is>
          <t>kV6</t>
        </is>
      </c>
      <c r="B11" t="inlineStr">
        <is>
          <t>158µm</t>
        </is>
      </c>
      <c r="C11" t="n">
        <v>158</v>
      </c>
      <c r="D11" t="n">
        <v>62.5</v>
      </c>
      <c r="E11" t="n">
        <v>0.77</v>
      </c>
      <c r="F11">
        <f>IFERROR(ROUND(C11*0.2828/E11,0),"")</f>
        <v/>
      </c>
      <c r="G11" t="n">
        <v>32</v>
      </c>
      <c r="H11" t="n">
        <v>4</v>
      </c>
      <c r="I11" t="n">
        <v>1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>
        <is>
          <t>158µm kV* 찾기</t>
        </is>
      </c>
    </row>
    <row r="12">
      <c r="A12" t="inlineStr">
        <is>
          <t>R1</t>
        </is>
      </c>
      <c r="B12" t="inlineStr">
        <is>
          <t>26µm</t>
        </is>
      </c>
      <c r="C12" t="n">
        <v>26</v>
      </c>
      <c r="D12" t="n">
        <v>57.5</v>
      </c>
      <c r="E12" t="n">
        <v>0.2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N≈37 =gold</t>
        </is>
      </c>
    </row>
    <row r="13">
      <c r="A13" t="inlineStr">
        <is>
          <t>R2</t>
        </is>
      </c>
      <c r="B13" t="inlineStr">
        <is>
          <t>26µm</t>
        </is>
      </c>
      <c r="C13" t="n">
        <v>26</v>
      </c>
      <c r="D13" t="n">
        <v>57.5</v>
      </c>
      <c r="E13" t="n">
        <v>0.25</v>
      </c>
      <c r="F13">
        <f>IFERROR(ROUND(C13*0.2828/E13,0),"")</f>
        <v/>
      </c>
      <c r="G13" t="n">
        <v>32</v>
      </c>
      <c r="H13" t="n">
        <v>4</v>
      </c>
      <c r="I13" t="n">
        <v>1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>
        <is>
          <t>N≈29 =운영(N29)</t>
        </is>
      </c>
    </row>
    <row r="14">
      <c r="A14" t="inlineStr">
        <is>
          <t>R3</t>
        </is>
      </c>
      <c r="B14" t="inlineStr">
        <is>
          <t>26µm</t>
        </is>
      </c>
      <c r="C14" t="n">
        <v>26</v>
      </c>
      <c r="D14" t="n">
        <v>57.5</v>
      </c>
      <c r="E14" t="n">
        <v>0.5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N≈15</t>
        </is>
      </c>
    </row>
    <row r="15">
      <c r="A15" t="inlineStr">
        <is>
          <t>R4</t>
        </is>
      </c>
      <c r="B15" t="inlineStr">
        <is>
          <t>158µm</t>
        </is>
      </c>
      <c r="C15" t="n">
        <v>158</v>
      </c>
      <c r="D15" t="n">
        <v>60.5</v>
      </c>
      <c r="E15" t="n">
        <v>0.77</v>
      </c>
      <c r="F15">
        <f>IFERROR(ROUND(C15*0.2828/E15,0),"")</f>
        <v/>
      </c>
      <c r="G15" t="n">
        <v>32</v>
      </c>
      <c r="H15" t="n">
        <v>4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N≈58 =gold</t>
        </is>
      </c>
    </row>
    <row r="16">
      <c r="A16" t="inlineStr">
        <is>
          <t>R5</t>
        </is>
      </c>
      <c r="B16" t="inlineStr">
        <is>
          <t>158µm</t>
        </is>
      </c>
      <c r="C16" t="n">
        <v>158</v>
      </c>
      <c r="D16" t="n">
        <v>60.5</v>
      </c>
      <c r="E16" t="n">
        <v>1.5</v>
      </c>
      <c r="F16">
        <f>IFERROR(ROUND(C16*0.2828/E16,0),"")</f>
        <v/>
      </c>
      <c r="G16" t="n">
        <v>32</v>
      </c>
      <c r="H16" t="n">
        <v>4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N≈30 =운영(N29)</t>
        </is>
      </c>
    </row>
    <row r="17">
      <c r="A17" t="inlineStr">
        <is>
          <t>R6</t>
        </is>
      </c>
      <c r="B17" t="inlineStr">
        <is>
          <t>158µm</t>
        </is>
      </c>
      <c r="C17" t="n">
        <v>158</v>
      </c>
      <c r="D17" t="n">
        <v>60.5</v>
      </c>
      <c r="E17" t="n">
        <v>3</v>
      </c>
      <c r="F17">
        <f>IFERROR(ROUND(C17*0.2828/E17,0),"")</f>
        <v/>
      </c>
      <c r="G17" t="n">
        <v>32</v>
      </c>
      <c r="H17" t="n">
        <v>4</v>
      </c>
      <c r="I17" t="n">
        <v>1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>
        <is>
          <t>N≈15</t>
        </is>
      </c>
    </row>
  </sheetData>
  <mergeCells count="2">
    <mergeCell ref="A3:R3"/>
    <mergeCell ref="A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4" customWidth="1" min="18" max="18"/>
    <col width="14" customWidth="1" min="19" max="19"/>
    <col width="17" customWidth="1" min="20" max="20"/>
  </cols>
  <sheetData>
    <row r="1">
      <c r="A1" s="1" t="inlineStr">
        <is>
          <t>Phase2_재현성_F·W</t>
        </is>
      </c>
    </row>
    <row r="2">
      <c r="A2" s="6" t="inlineStr">
        <is>
          <t>같은 범프 반복→void% σ(노이즈). 총오차=√(편차²+(2σ)²)≤10% 확인. 26µm=F스윕(R0.25·W4), 158µm=W스윕(R1.5·F32). F≥32.</t>
        </is>
      </c>
    </row>
    <row r="3">
      <c r="A3" s="4" t="inlineStr">
        <is>
          <t>정확도=총오차≤10%(픽셀화⊕노이즈). N_target≈29 · R≥0.2 · F≥32. D=PD직경(독립)/측정직경=종속/void%=장비출력(측정면적).</t>
        </is>
      </c>
    </row>
    <row r="5">
      <c r="A5" s="7" t="inlineStr">
        <is>
          <t>Run</t>
        </is>
      </c>
      <c r="B5" s="7" t="inlineStr">
        <is>
          <t>자재</t>
        </is>
      </c>
      <c r="C5" s="7" t="inlineStr">
        <is>
          <t>PD직경 D(µm)</t>
        </is>
      </c>
      <c r="D5" s="7" t="inlineStr">
        <is>
          <t>kV</t>
        </is>
      </c>
      <c r="E5" s="7" t="inlineStr">
        <is>
          <t>R(µm/px)</t>
        </is>
      </c>
      <c r="F5" s="7" t="inlineStr">
        <is>
          <t>N(자동)</t>
        </is>
      </c>
      <c r="G5" s="7" t="inlineStr">
        <is>
          <t>F</t>
        </is>
      </c>
      <c r="H5" s="7" t="inlineStr">
        <is>
          <t>W</t>
        </is>
      </c>
      <c r="I5" s="7" t="inlineStr">
        <is>
          <t>반복#</t>
        </is>
      </c>
      <c r="J5" s="7" t="inlineStr">
        <is>
          <t>측정직경(µm)</t>
        </is>
      </c>
      <c r="K5" s="7" t="inlineStr">
        <is>
          <t>Q_dia(자동)=측정÷PD</t>
        </is>
      </c>
      <c r="L5" s="7" t="inlineStr">
        <is>
          <t>매칭(Y/N)</t>
        </is>
      </c>
      <c r="M5" s="7" t="inlineStr">
        <is>
          <t>void%(측정,장비값)</t>
        </is>
      </c>
      <c r="N5" s="7" t="inlineStr">
        <is>
          <t>기준gold void%</t>
        </is>
      </c>
      <c r="O5" s="7" t="inlineStr">
        <is>
          <t>void편차%(자동)</t>
        </is>
      </c>
      <c r="P5" s="7" t="inlineStr">
        <is>
          <t>판정(자동)</t>
        </is>
      </c>
      <c r="Q5" s="7" t="inlineStr">
        <is>
          <t>tact(초)</t>
        </is>
      </c>
      <c r="R5" s="7" t="inlineStr">
        <is>
          <t>메모</t>
        </is>
      </c>
      <c r="S5" s="7" t="inlineStr">
        <is>
          <t>void%σ_rel(자동)</t>
        </is>
      </c>
      <c r="T5" s="7" t="inlineStr">
        <is>
          <t>총오차_rel(자동)≤0.10</t>
        </is>
      </c>
    </row>
    <row r="6">
      <c r="A6" t="inlineStr">
        <is>
          <t>F32</t>
        </is>
      </c>
      <c r="B6" t="inlineStr">
        <is>
          <t>26µm</t>
        </is>
      </c>
      <c r="C6" t="n">
        <v>26</v>
      </c>
      <c r="D6" t="n">
        <v>57.5</v>
      </c>
      <c r="E6" t="n">
        <v>0.25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F=32 재현성·총오차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F32</t>
        </is>
      </c>
      <c r="B7" t="inlineStr">
        <is>
          <t>26µm</t>
        </is>
      </c>
      <c r="C7" t="n">
        <v>26</v>
      </c>
      <c r="D7" t="n">
        <v>57.5</v>
      </c>
      <c r="E7" t="n">
        <v>0.25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F32</t>
        </is>
      </c>
      <c r="B8" t="inlineStr">
        <is>
          <t>26µm</t>
        </is>
      </c>
      <c r="C8" t="n">
        <v>26</v>
      </c>
      <c r="D8" t="n">
        <v>57.5</v>
      </c>
      <c r="E8" t="n">
        <v>0.25</v>
      </c>
      <c r="F8">
        <f>IFERROR(ROUND(C8*0.2828/E8,0),"")</f>
        <v/>
      </c>
      <c r="G8" t="n">
        <v>32</v>
      </c>
      <c r="H8" t="n">
        <v>4</v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F64</t>
        </is>
      </c>
      <c r="B9" t="inlineStr">
        <is>
          <t>26µm</t>
        </is>
      </c>
      <c r="C9" t="n">
        <v>26</v>
      </c>
      <c r="D9" t="n">
        <v>57.5</v>
      </c>
      <c r="E9" t="n">
        <v>0.25</v>
      </c>
      <c r="F9">
        <f>IFERROR(ROUND(C9*0.2828/E9,0),"")</f>
        <v/>
      </c>
      <c r="G9" t="n">
        <v>64</v>
      </c>
      <c r="H9" t="n">
        <v>4</v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F=64 재현성·총오차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F64</t>
        </is>
      </c>
      <c r="B10" t="inlineStr">
        <is>
          <t>26µm</t>
        </is>
      </c>
      <c r="C10" t="n">
        <v>26</v>
      </c>
      <c r="D10" t="n">
        <v>57.5</v>
      </c>
      <c r="E10" t="n">
        <v>0.25</v>
      </c>
      <c r="F10">
        <f>IFERROR(ROUND(C10*0.2828/E10,0),"")</f>
        <v/>
      </c>
      <c r="G10" t="n">
        <v>64</v>
      </c>
      <c r="H10" t="n">
        <v>4</v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F64</t>
        </is>
      </c>
      <c r="B11" t="inlineStr">
        <is>
          <t>26µm</t>
        </is>
      </c>
      <c r="C11" t="n">
        <v>26</v>
      </c>
      <c r="D11" t="n">
        <v>57.5</v>
      </c>
      <c r="E11" t="n">
        <v>0.25</v>
      </c>
      <c r="F11">
        <f>IFERROR(ROUND(C11*0.2828/E11,0),"")</f>
        <v/>
      </c>
      <c r="G11" t="n">
        <v>64</v>
      </c>
      <c r="H11" t="n">
        <v>4</v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F128</t>
        </is>
      </c>
      <c r="B12" t="inlineStr">
        <is>
          <t>26µm</t>
        </is>
      </c>
      <c r="C12" t="n">
        <v>26</v>
      </c>
      <c r="D12" t="n">
        <v>57.5</v>
      </c>
      <c r="E12" t="n">
        <v>0.25</v>
      </c>
      <c r="F12">
        <f>IFERROR(ROUND(C12*0.2828/E12,0),"")</f>
        <v/>
      </c>
      <c r="G12" t="n">
        <v>128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F=128 재현성·총오차</t>
        </is>
      </c>
      <c r="S12">
        <f>IFERROR(STDEV(M12:M14)/AVERAGE(M12:M14),"")</f>
        <v/>
      </c>
      <c r="T12">
        <f>IFERROR(SQRT(((AVERAGE(M12:M14)-N12)/N12)^2+(2*STDEV(M12:M14)/AVERAGE(M12:M14))^2),"")</f>
        <v/>
      </c>
    </row>
    <row r="13">
      <c r="A13" t="inlineStr">
        <is>
          <t>F128</t>
        </is>
      </c>
      <c r="B13" t="inlineStr">
        <is>
          <t>26µm</t>
        </is>
      </c>
      <c r="C13" t="n">
        <v>26</v>
      </c>
      <c r="D13" t="n">
        <v>57.5</v>
      </c>
      <c r="E13" t="n">
        <v>0.25</v>
      </c>
      <c r="F13">
        <f>IFERROR(ROUND(C13*0.2828/E13,0),"")</f>
        <v/>
      </c>
      <c r="G13" t="n">
        <v>128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F128</t>
        </is>
      </c>
      <c r="B14" t="inlineStr">
        <is>
          <t>26µm</t>
        </is>
      </c>
      <c r="C14" t="n">
        <v>26</v>
      </c>
      <c r="D14" t="n">
        <v>57.5</v>
      </c>
      <c r="E14" t="n">
        <v>0.25</v>
      </c>
      <c r="F14">
        <f>IFERROR(ROUND(C14*0.2828/E14,0),"")</f>
        <v/>
      </c>
      <c r="G14" t="n">
        <v>128</v>
      </c>
      <c r="H14" t="n">
        <v>4</v>
      </c>
      <c r="I14" t="n">
        <v>3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/>
    </row>
    <row r="15">
      <c r="A15" t="inlineStr">
        <is>
          <t>W3</t>
        </is>
      </c>
      <c r="B15" t="inlineStr">
        <is>
          <t>158µm</t>
        </is>
      </c>
      <c r="C15" t="n">
        <v>158</v>
      </c>
      <c r="D15" t="n">
        <v>60.5</v>
      </c>
      <c r="E15" t="n">
        <v>1.5</v>
      </c>
      <c r="F15">
        <f>IFERROR(ROUND(C15*0.2828/E15,0),"")</f>
        <v/>
      </c>
      <c r="G15" t="n">
        <v>32</v>
      </c>
      <c r="H15" t="n">
        <v>3</v>
      </c>
      <c r="I15" t="n">
        <v>1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>
        <is>
          <t>W=3 재현성·깜빡임</t>
        </is>
      </c>
      <c r="S15">
        <f>IFERROR(STDEV(M15:M17)/AVERAGE(M15:M17),"")</f>
        <v/>
      </c>
      <c r="T15">
        <f>IFERROR(SQRT(((AVERAGE(M15:M17)-N15)/N15)^2+(2*STDEV(M15:M17)/AVERAGE(M15:M17))^2),"")</f>
        <v/>
      </c>
    </row>
    <row r="16">
      <c r="A16" t="inlineStr">
        <is>
          <t>W3</t>
        </is>
      </c>
      <c r="B16" t="inlineStr">
        <is>
          <t>158µm</t>
        </is>
      </c>
      <c r="C16" t="n">
        <v>158</v>
      </c>
      <c r="D16" t="n">
        <v>60.5</v>
      </c>
      <c r="E16" t="n">
        <v>1.5</v>
      </c>
      <c r="F16">
        <f>IFERROR(ROUND(C16*0.2828/E16,0),"")</f>
        <v/>
      </c>
      <c r="G16" t="n">
        <v>32</v>
      </c>
      <c r="H16" t="n">
        <v>3</v>
      </c>
      <c r="I16" t="n">
        <v>2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/>
    </row>
    <row r="17">
      <c r="A17" t="inlineStr">
        <is>
          <t>W3</t>
        </is>
      </c>
      <c r="B17" t="inlineStr">
        <is>
          <t>158µm</t>
        </is>
      </c>
      <c r="C17" t="n">
        <v>158</v>
      </c>
      <c r="D17" t="n">
        <v>60.5</v>
      </c>
      <c r="E17" t="n">
        <v>1.5</v>
      </c>
      <c r="F17">
        <f>IFERROR(ROUND(C17*0.2828/E17,0),"")</f>
        <v/>
      </c>
      <c r="G17" t="n">
        <v>32</v>
      </c>
      <c r="H17" t="n">
        <v>3</v>
      </c>
      <c r="I17" t="n">
        <v>3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W4</t>
        </is>
      </c>
      <c r="B18" t="inlineStr">
        <is>
          <t>158µm</t>
        </is>
      </c>
      <c r="C18" t="n">
        <v>158</v>
      </c>
      <c r="D18" t="n">
        <v>60.5</v>
      </c>
      <c r="E18" t="n">
        <v>1.5</v>
      </c>
      <c r="F18">
        <f>IFERROR(ROUND(C18*0.2828/E18,0),"")</f>
        <v/>
      </c>
      <c r="G18" t="n">
        <v>32</v>
      </c>
      <c r="H18" t="n">
        <v>4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W=4 재현성·깜빡임</t>
        </is>
      </c>
      <c r="S18">
        <f>IFERROR(STDEV(M18:M20)/AVERAGE(M18:M20),"")</f>
        <v/>
      </c>
      <c r="T18">
        <f>IFERROR(SQRT(((AVERAGE(M18:M20)-N18)/N18)^2+(2*STDEV(M18:M20)/AVERAGE(M18:M20))^2),"")</f>
        <v/>
      </c>
    </row>
    <row r="19">
      <c r="A19" t="inlineStr">
        <is>
          <t>W4</t>
        </is>
      </c>
      <c r="B19" t="inlineStr">
        <is>
          <t>158µm</t>
        </is>
      </c>
      <c r="C19" t="n">
        <v>158</v>
      </c>
      <c r="D19" t="n">
        <v>60.5</v>
      </c>
      <c r="E19" t="n">
        <v>1.5</v>
      </c>
      <c r="F19">
        <f>IFERROR(ROUND(C19*0.2828/E19,0),"")</f>
        <v/>
      </c>
      <c r="G19" t="n">
        <v>32</v>
      </c>
      <c r="H19" t="n">
        <v>4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W4</t>
        </is>
      </c>
      <c r="B20" t="inlineStr">
        <is>
          <t>158µm</t>
        </is>
      </c>
      <c r="C20" t="n">
        <v>158</v>
      </c>
      <c r="D20" t="n">
        <v>60.5</v>
      </c>
      <c r="E20" t="n">
        <v>1.5</v>
      </c>
      <c r="F20">
        <f>IFERROR(ROUND(C20*0.2828/E20,0),"")</f>
        <v/>
      </c>
      <c r="G20" t="n">
        <v>32</v>
      </c>
      <c r="H20" t="n">
        <v>4</v>
      </c>
      <c r="I20" t="n">
        <v>3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/>
    </row>
    <row r="21">
      <c r="A21" t="inlineStr">
        <is>
          <t>W5</t>
        </is>
      </c>
      <c r="B21" t="inlineStr">
        <is>
          <t>158µm</t>
        </is>
      </c>
      <c r="C21" t="n">
        <v>158</v>
      </c>
      <c r="D21" t="n">
        <v>60.5</v>
      </c>
      <c r="E21" t="n">
        <v>1.5</v>
      </c>
      <c r="F21">
        <f>IFERROR(ROUND(C21*0.2828/E21,0),"")</f>
        <v/>
      </c>
      <c r="G21" t="n">
        <v>32</v>
      </c>
      <c r="H21" t="n">
        <v>5</v>
      </c>
      <c r="I21" t="n">
        <v>1</v>
      </c>
      <c r="K21">
        <f>IFERROR(J21/C21,"")</f>
        <v/>
      </c>
      <c r="O21">
        <f>IFERROR((M21-N21)/N21,"")</f>
        <v/>
      </c>
      <c r="P21">
        <f>IF(J21="","",IF(AND(L21="Y",K21&gt;=0.97,K21&lt;=1.03,IFERROR(ABS(O21)&lt;=0.1,FALSE)),"PASS","FAIL"))</f>
        <v/>
      </c>
      <c r="R21" t="inlineStr">
        <is>
          <t>W=5 재현성·깜빡임</t>
        </is>
      </c>
      <c r="S21">
        <f>IFERROR(STDEV(M21:M23)/AVERAGE(M21:M23),"")</f>
        <v/>
      </c>
      <c r="T21">
        <f>IFERROR(SQRT(((AVERAGE(M21:M23)-N21)/N21)^2+(2*STDEV(M21:M23)/AVERAGE(M21:M23))^2),"")</f>
        <v/>
      </c>
    </row>
    <row r="22">
      <c r="A22" t="inlineStr">
        <is>
          <t>W5</t>
        </is>
      </c>
      <c r="B22" t="inlineStr">
        <is>
          <t>158µm</t>
        </is>
      </c>
      <c r="C22" t="n">
        <v>158</v>
      </c>
      <c r="D22" t="n">
        <v>60.5</v>
      </c>
      <c r="E22" t="n">
        <v>1.5</v>
      </c>
      <c r="F22">
        <f>IFERROR(ROUND(C22*0.2828/E22,0),"")</f>
        <v/>
      </c>
      <c r="G22" t="n">
        <v>32</v>
      </c>
      <c r="H22" t="n">
        <v>5</v>
      </c>
      <c r="I22" t="n">
        <v>2</v>
      </c>
      <c r="K22">
        <f>IFERROR(J22/C22,"")</f>
        <v/>
      </c>
      <c r="O22">
        <f>IFERROR((M22-N22)/N22,"")</f>
        <v/>
      </c>
      <c r="P22">
        <f>IF(J22="","",IF(AND(L22="Y",K22&gt;=0.97,K22&lt;=1.03,IFERROR(ABS(O22)&lt;=0.1,FALSE)),"PASS","FAIL"))</f>
        <v/>
      </c>
      <c r="R22" t="inlineStr"/>
    </row>
    <row r="23">
      <c r="A23" t="inlineStr">
        <is>
          <t>W5</t>
        </is>
      </c>
      <c r="B23" t="inlineStr">
        <is>
          <t>158µm</t>
        </is>
      </c>
      <c r="C23" t="n">
        <v>158</v>
      </c>
      <c r="D23" t="n">
        <v>60.5</v>
      </c>
      <c r="E23" t="n">
        <v>1.5</v>
      </c>
      <c r="F23">
        <f>IFERROR(ROUND(C23*0.2828/E23,0),"")</f>
        <v/>
      </c>
      <c r="G23" t="n">
        <v>32</v>
      </c>
      <c r="H23" t="n">
        <v>5</v>
      </c>
      <c r="I23" t="n">
        <v>3</v>
      </c>
      <c r="K23">
        <f>IFERROR(J23/C23,"")</f>
        <v/>
      </c>
      <c r="O23">
        <f>IFERROR((M23-N23)/N23,"")</f>
        <v/>
      </c>
      <c r="P23">
        <f>IF(J23="","",IF(AND(L23="Y",K23&gt;=0.97,K23&lt;=1.03,IFERROR(ABS(O23)&lt;=0.1,FALSE)),"PASS","FAIL"))</f>
        <v/>
      </c>
      <c r="R23" t="inlineStr"/>
    </row>
    <row r="24">
      <c r="A24" t="inlineStr">
        <is>
          <t>W6</t>
        </is>
      </c>
      <c r="B24" t="inlineStr">
        <is>
          <t>158µm</t>
        </is>
      </c>
      <c r="C24" t="n">
        <v>158</v>
      </c>
      <c r="D24" t="n">
        <v>60.5</v>
      </c>
      <c r="E24" t="n">
        <v>1.5</v>
      </c>
      <c r="F24">
        <f>IFERROR(ROUND(C24*0.2828/E24,0),"")</f>
        <v/>
      </c>
      <c r="G24" t="n">
        <v>32</v>
      </c>
      <c r="H24" t="n">
        <v>6</v>
      </c>
      <c r="I24" t="n">
        <v>1</v>
      </c>
      <c r="K24">
        <f>IFERROR(J24/C24,"")</f>
        <v/>
      </c>
      <c r="O24">
        <f>IFERROR((M24-N24)/N24,"")</f>
        <v/>
      </c>
      <c r="P24">
        <f>IF(J24="","",IF(AND(L24="Y",K24&gt;=0.97,K24&lt;=1.03,IFERROR(ABS(O24)&lt;=0.1,FALSE)),"PASS","FAIL"))</f>
        <v/>
      </c>
      <c r="R24" t="inlineStr">
        <is>
          <t>W=6 재현성·깜빡임</t>
        </is>
      </c>
      <c r="S24">
        <f>IFERROR(STDEV(M24:M26)/AVERAGE(M24:M26),"")</f>
        <v/>
      </c>
      <c r="T24">
        <f>IFERROR(SQRT(((AVERAGE(M24:M26)-N24)/N24)^2+(2*STDEV(M24:M26)/AVERAGE(M24:M26))^2),"")</f>
        <v/>
      </c>
    </row>
    <row r="25">
      <c r="A25" t="inlineStr">
        <is>
          <t>W6</t>
        </is>
      </c>
      <c r="B25" t="inlineStr">
        <is>
          <t>158µm</t>
        </is>
      </c>
      <c r="C25" t="n">
        <v>158</v>
      </c>
      <c r="D25" t="n">
        <v>60.5</v>
      </c>
      <c r="E25" t="n">
        <v>1.5</v>
      </c>
      <c r="F25">
        <f>IFERROR(ROUND(C25*0.2828/E25,0),"")</f>
        <v/>
      </c>
      <c r="G25" t="n">
        <v>32</v>
      </c>
      <c r="H25" t="n">
        <v>6</v>
      </c>
      <c r="I25" t="n">
        <v>2</v>
      </c>
      <c r="K25">
        <f>IFERROR(J25/C25,"")</f>
        <v/>
      </c>
      <c r="O25">
        <f>IFERROR((M25-N25)/N25,"")</f>
        <v/>
      </c>
      <c r="P25">
        <f>IF(J25="","",IF(AND(L25="Y",K25&gt;=0.97,K25&lt;=1.03,IFERROR(ABS(O25)&lt;=0.1,FALSE)),"PASS","FAIL"))</f>
        <v/>
      </c>
      <c r="R25" t="inlineStr"/>
    </row>
    <row r="26">
      <c r="A26" t="inlineStr">
        <is>
          <t>W6</t>
        </is>
      </c>
      <c r="B26" t="inlineStr">
        <is>
          <t>158µm</t>
        </is>
      </c>
      <c r="C26" t="n">
        <v>158</v>
      </c>
      <c r="D26" t="n">
        <v>60.5</v>
      </c>
      <c r="E26" t="n">
        <v>1.5</v>
      </c>
      <c r="F26">
        <f>IFERROR(ROUND(C26*0.2828/E26,0),"")</f>
        <v/>
      </c>
      <c r="G26" t="n">
        <v>32</v>
      </c>
      <c r="H26" t="n">
        <v>6</v>
      </c>
      <c r="I26" t="n">
        <v>3</v>
      </c>
      <c r="K26">
        <f>IFERROR(J26/C26,"")</f>
        <v/>
      </c>
      <c r="O26">
        <f>IFERROR((M26-N26)/N26,"")</f>
        <v/>
      </c>
      <c r="P26">
        <f>IF(J26="","",IF(AND(L26="Y",K26&gt;=0.97,K26&lt;=1.03,IFERROR(ABS(O26)&lt;=0.1,FALSE)),"PASS","FAIL"))</f>
        <v/>
      </c>
      <c r="R26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4" customWidth="1" min="18" max="18"/>
    <col width="14" customWidth="1" min="19" max="19"/>
    <col width="17" customWidth="1" min="20" max="20"/>
  </cols>
  <sheetData>
    <row r="1">
      <c r="A1" s="1" t="inlineStr">
        <is>
          <t>Phase3_교호작용</t>
        </is>
      </c>
    </row>
    <row r="2">
      <c r="A2" s="6" t="inlineStr">
        <is>
          <t>kV×R(26µm): 대비bias×픽셀화 / W×F(158µm): SNR∝√(W·F) 교환(F≥32). ×D는 두 자재.</t>
        </is>
      </c>
    </row>
    <row r="3">
      <c r="A3" s="4" t="inlineStr">
        <is>
          <t>정확도=총오차≤10%(픽셀화⊕노이즈). N_target≈29 · R≥0.2 · F≥32. D=PD직경(독립)/측정직경=종속/void%=장비출력(측정면적).</t>
        </is>
      </c>
    </row>
    <row r="5">
      <c r="A5" s="7" t="inlineStr">
        <is>
          <t>Run</t>
        </is>
      </c>
      <c r="B5" s="7" t="inlineStr">
        <is>
          <t>자재</t>
        </is>
      </c>
      <c r="C5" s="7" t="inlineStr">
        <is>
          <t>PD직경 D(µm)</t>
        </is>
      </c>
      <c r="D5" s="7" t="inlineStr">
        <is>
          <t>kV</t>
        </is>
      </c>
      <c r="E5" s="7" t="inlineStr">
        <is>
          <t>R(µm/px)</t>
        </is>
      </c>
      <c r="F5" s="7" t="inlineStr">
        <is>
          <t>N(자동)</t>
        </is>
      </c>
      <c r="G5" s="7" t="inlineStr">
        <is>
          <t>F</t>
        </is>
      </c>
      <c r="H5" s="7" t="inlineStr">
        <is>
          <t>W</t>
        </is>
      </c>
      <c r="I5" s="7" t="inlineStr">
        <is>
          <t>반복#</t>
        </is>
      </c>
      <c r="J5" s="7" t="inlineStr">
        <is>
          <t>측정직경(µm)</t>
        </is>
      </c>
      <c r="K5" s="7" t="inlineStr">
        <is>
          <t>Q_dia(자동)=측정÷PD</t>
        </is>
      </c>
      <c r="L5" s="7" t="inlineStr">
        <is>
          <t>매칭(Y/N)</t>
        </is>
      </c>
      <c r="M5" s="7" t="inlineStr">
        <is>
          <t>void%(측정,장비값)</t>
        </is>
      </c>
      <c r="N5" s="7" t="inlineStr">
        <is>
          <t>기준gold void%</t>
        </is>
      </c>
      <c r="O5" s="7" t="inlineStr">
        <is>
          <t>void편차%(자동)</t>
        </is>
      </c>
      <c r="P5" s="7" t="inlineStr">
        <is>
          <t>판정(자동)</t>
        </is>
      </c>
      <c r="Q5" s="7" t="inlineStr">
        <is>
          <t>tact(초)</t>
        </is>
      </c>
      <c r="R5" s="7" t="inlineStr">
        <is>
          <t>메모</t>
        </is>
      </c>
      <c r="S5" s="7" t="inlineStr">
        <is>
          <t>void%σ_rel(자동)</t>
        </is>
      </c>
      <c r="T5" s="7" t="inlineStr">
        <is>
          <t>총오차_rel(자동)≤0.10</t>
        </is>
      </c>
    </row>
    <row r="6">
      <c r="A6" t="inlineStr">
        <is>
          <t>KR</t>
        </is>
      </c>
      <c r="B6" t="inlineStr">
        <is>
          <t>26µm</t>
        </is>
      </c>
      <c r="C6" t="n">
        <v>26</v>
      </c>
      <c r="D6" t="n">
        <v>55.5</v>
      </c>
      <c r="E6" t="n">
        <v>0.2</v>
      </c>
      <c r="F6">
        <f>IFERROR(ROUND(C6*0.2828/E6,0),"")</f>
        <v/>
      </c>
      <c r="G6" t="n">
        <v>32</v>
      </c>
      <c r="H6" t="n">
        <v>4</v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kV55.5×R0.2(N37)</t>
        </is>
      </c>
      <c r="S6">
        <f>IFERROR(STDEV(M6:M7)/AVERAGE(M6:M7),"")</f>
        <v/>
      </c>
      <c r="T6">
        <f>IFERROR(SQRT(((AVERAGE(M6:M7)-N6)/N6)^2+(2*STDEV(M6:M7)/AVERAGE(M6:M7))^2),"")</f>
        <v/>
      </c>
    </row>
    <row r="7">
      <c r="A7" t="inlineStr">
        <is>
          <t>KR</t>
        </is>
      </c>
      <c r="B7" t="inlineStr">
        <is>
          <t>26µm</t>
        </is>
      </c>
      <c r="C7" t="n">
        <v>26</v>
      </c>
      <c r="D7" t="n">
        <v>55.5</v>
      </c>
      <c r="E7" t="n">
        <v>0.2</v>
      </c>
      <c r="F7">
        <f>IFERROR(ROUND(C7*0.2828/E7,0),"")</f>
        <v/>
      </c>
      <c r="G7" t="n">
        <v>32</v>
      </c>
      <c r="H7" t="n">
        <v>4</v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KR</t>
        </is>
      </c>
      <c r="B8" t="inlineStr">
        <is>
          <t>26µm</t>
        </is>
      </c>
      <c r="C8" t="n">
        <v>26</v>
      </c>
      <c r="D8" t="n">
        <v>55.5</v>
      </c>
      <c r="E8" t="n">
        <v>0.5</v>
      </c>
      <c r="F8">
        <f>IFERROR(ROUND(C8*0.2828/E8,0),"")</f>
        <v/>
      </c>
      <c r="G8" t="n">
        <v>32</v>
      </c>
      <c r="H8" t="n">
        <v>4</v>
      </c>
      <c r="I8" t="n">
        <v>1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>
        <is>
          <t>kV55.5×R0.5(N15)</t>
        </is>
      </c>
      <c r="S8">
        <f>IFERROR(STDEV(M8:M9)/AVERAGE(M8:M9),"")</f>
        <v/>
      </c>
      <c r="T8">
        <f>IFERROR(SQRT(((AVERAGE(M8:M9)-N8)/N8)^2+(2*STDEV(M8:M9)/AVERAGE(M8:M9))^2),"")</f>
        <v/>
      </c>
    </row>
    <row r="9">
      <c r="A9" t="inlineStr">
        <is>
          <t>KR</t>
        </is>
      </c>
      <c r="B9" t="inlineStr">
        <is>
          <t>26µm</t>
        </is>
      </c>
      <c r="C9" t="n">
        <v>26</v>
      </c>
      <c r="D9" t="n">
        <v>55.5</v>
      </c>
      <c r="E9" t="n">
        <v>0.5</v>
      </c>
      <c r="F9">
        <f>IFERROR(ROUND(C9*0.2828/E9,0),"")</f>
        <v/>
      </c>
      <c r="G9" t="n">
        <v>32</v>
      </c>
      <c r="H9" t="n">
        <v>4</v>
      </c>
      <c r="I9" t="n">
        <v>2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/>
    </row>
    <row r="10">
      <c r="A10" t="inlineStr">
        <is>
          <t>KR</t>
        </is>
      </c>
      <c r="B10" t="inlineStr">
        <is>
          <t>26µm</t>
        </is>
      </c>
      <c r="C10" t="n">
        <v>26</v>
      </c>
      <c r="D10" t="n">
        <v>59.5</v>
      </c>
      <c r="E10" t="n">
        <v>0.2</v>
      </c>
      <c r="F10">
        <f>IFERROR(ROUND(C10*0.2828/E10,0),"")</f>
        <v/>
      </c>
      <c r="G10" t="n">
        <v>32</v>
      </c>
      <c r="H10" t="n">
        <v>4</v>
      </c>
      <c r="I10" t="n">
        <v>1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>
        <is>
          <t>kV59.5×R0.2(N37)</t>
        </is>
      </c>
      <c r="S10">
        <f>IFERROR(STDEV(M10:M11)/AVERAGE(M10:M11),"")</f>
        <v/>
      </c>
      <c r="T10">
        <f>IFERROR(SQRT(((AVERAGE(M10:M11)-N10)/N10)^2+(2*STDEV(M10:M11)/AVERAGE(M10:M11))^2),"")</f>
        <v/>
      </c>
    </row>
    <row r="11">
      <c r="A11" t="inlineStr">
        <is>
          <t>KR</t>
        </is>
      </c>
      <c r="B11" t="inlineStr">
        <is>
          <t>26µm</t>
        </is>
      </c>
      <c r="C11" t="n">
        <v>26</v>
      </c>
      <c r="D11" t="n">
        <v>59.5</v>
      </c>
      <c r="E11" t="n">
        <v>0.2</v>
      </c>
      <c r="F11">
        <f>IFERROR(ROUND(C11*0.2828/E11,0),"")</f>
        <v/>
      </c>
      <c r="G11" t="n">
        <v>32</v>
      </c>
      <c r="H11" t="n">
        <v>4</v>
      </c>
      <c r="I11" t="n">
        <v>2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  <row r="12">
      <c r="A12" t="inlineStr">
        <is>
          <t>KR</t>
        </is>
      </c>
      <c r="B12" t="inlineStr">
        <is>
          <t>26µm</t>
        </is>
      </c>
      <c r="C12" t="n">
        <v>26</v>
      </c>
      <c r="D12" t="n">
        <v>59.5</v>
      </c>
      <c r="E12" t="n">
        <v>0.5</v>
      </c>
      <c r="F12">
        <f>IFERROR(ROUND(C12*0.2828/E12,0),"")</f>
        <v/>
      </c>
      <c r="G12" t="n">
        <v>32</v>
      </c>
      <c r="H12" t="n">
        <v>4</v>
      </c>
      <c r="I12" t="n">
        <v>1</v>
      </c>
      <c r="K12">
        <f>IFERROR(J12/C12,"")</f>
        <v/>
      </c>
      <c r="O12">
        <f>IFERROR((M12-N12)/N12,"")</f>
        <v/>
      </c>
      <c r="P12">
        <f>IF(J12="","",IF(AND(L12="Y",K12&gt;=0.97,K12&lt;=1.03,IFERROR(ABS(O12)&lt;=0.1,FALSE)),"PASS","FAIL"))</f>
        <v/>
      </c>
      <c r="R12" t="inlineStr">
        <is>
          <t>kV59.5×R0.5(N15)</t>
        </is>
      </c>
      <c r="S12">
        <f>IFERROR(STDEV(M12:M13)/AVERAGE(M12:M13),"")</f>
        <v/>
      </c>
      <c r="T12">
        <f>IFERROR(SQRT(((AVERAGE(M12:M13)-N12)/N12)^2+(2*STDEV(M12:M13)/AVERAGE(M12:M13))^2),"")</f>
        <v/>
      </c>
    </row>
    <row r="13">
      <c r="A13" t="inlineStr">
        <is>
          <t>KR</t>
        </is>
      </c>
      <c r="B13" t="inlineStr">
        <is>
          <t>26µm</t>
        </is>
      </c>
      <c r="C13" t="n">
        <v>26</v>
      </c>
      <c r="D13" t="n">
        <v>59.5</v>
      </c>
      <c r="E13" t="n">
        <v>0.5</v>
      </c>
      <c r="F13">
        <f>IFERROR(ROUND(C13*0.2828/E13,0),"")</f>
        <v/>
      </c>
      <c r="G13" t="n">
        <v>32</v>
      </c>
      <c r="H13" t="n">
        <v>4</v>
      </c>
      <c r="I13" t="n">
        <v>2</v>
      </c>
      <c r="K13">
        <f>IFERROR(J13/C13,"")</f>
        <v/>
      </c>
      <c r="O13">
        <f>IFERROR((M13-N13)/N13,"")</f>
        <v/>
      </c>
      <c r="P13">
        <f>IF(J13="","",IF(AND(L13="Y",K13&gt;=0.97,K13&lt;=1.03,IFERROR(ABS(O13)&lt;=0.1,FALSE)),"PASS","FAIL"))</f>
        <v/>
      </c>
      <c r="R13" t="inlineStr"/>
    </row>
    <row r="14">
      <c r="A14" t="inlineStr">
        <is>
          <t>WF</t>
        </is>
      </c>
      <c r="B14" t="inlineStr">
        <is>
          <t>158µm</t>
        </is>
      </c>
      <c r="C14" t="n">
        <v>158</v>
      </c>
      <c r="D14" t="n">
        <v>60.5</v>
      </c>
      <c r="E14" t="n">
        <v>1.5</v>
      </c>
      <c r="F14">
        <f>IFERROR(ROUND(C14*0.2828/E14,0),"")</f>
        <v/>
      </c>
      <c r="G14" t="n">
        <v>32</v>
      </c>
      <c r="H14" t="n">
        <v>4</v>
      </c>
      <c r="I14" t="n">
        <v>1</v>
      </c>
      <c r="K14">
        <f>IFERROR(J14/C14,"")</f>
        <v/>
      </c>
      <c r="O14">
        <f>IFERROR((M14-N14)/N14,"")</f>
        <v/>
      </c>
      <c r="P14">
        <f>IF(J14="","",IF(AND(L14="Y",K14&gt;=0.97,K14&lt;=1.03,IFERROR(ABS(O14)&lt;=0.1,FALSE)),"PASS","FAIL"))</f>
        <v/>
      </c>
      <c r="R14" t="inlineStr">
        <is>
          <t>W4×F32</t>
        </is>
      </c>
      <c r="S14">
        <f>IFERROR(STDEV(M14:M15)/AVERAGE(M14:M15),"")</f>
        <v/>
      </c>
      <c r="T14">
        <f>IFERROR(SQRT(((AVERAGE(M14:M15)-N14)/N14)^2+(2*STDEV(M14:M15)/AVERAGE(M14:M15))^2),"")</f>
        <v/>
      </c>
    </row>
    <row r="15">
      <c r="A15" t="inlineStr">
        <is>
          <t>WF</t>
        </is>
      </c>
      <c r="B15" t="inlineStr">
        <is>
          <t>158µm</t>
        </is>
      </c>
      <c r="C15" t="n">
        <v>158</v>
      </c>
      <c r="D15" t="n">
        <v>60.5</v>
      </c>
      <c r="E15" t="n">
        <v>1.5</v>
      </c>
      <c r="F15">
        <f>IFERROR(ROUND(C15*0.2828/E15,0),"")</f>
        <v/>
      </c>
      <c r="G15" t="n">
        <v>32</v>
      </c>
      <c r="H15" t="n">
        <v>4</v>
      </c>
      <c r="I15" t="n">
        <v>2</v>
      </c>
      <c r="K15">
        <f>IFERROR(J15/C15,"")</f>
        <v/>
      </c>
      <c r="O15">
        <f>IFERROR((M15-N15)/N15,"")</f>
        <v/>
      </c>
      <c r="P15">
        <f>IF(J15="","",IF(AND(L15="Y",K15&gt;=0.97,K15&lt;=1.03,IFERROR(ABS(O15)&lt;=0.1,FALSE)),"PASS","FAIL"))</f>
        <v/>
      </c>
      <c r="R15" t="inlineStr"/>
    </row>
    <row r="16">
      <c r="A16" t="inlineStr">
        <is>
          <t>WF</t>
        </is>
      </c>
      <c r="B16" t="inlineStr">
        <is>
          <t>158µm</t>
        </is>
      </c>
      <c r="C16" t="n">
        <v>158</v>
      </c>
      <c r="D16" t="n">
        <v>60.5</v>
      </c>
      <c r="E16" t="n">
        <v>1.5</v>
      </c>
      <c r="F16">
        <f>IFERROR(ROUND(C16*0.2828/E16,0),"")</f>
        <v/>
      </c>
      <c r="G16" t="n">
        <v>64</v>
      </c>
      <c r="H16" t="n">
        <v>4</v>
      </c>
      <c r="I16" t="n">
        <v>1</v>
      </c>
      <c r="K16">
        <f>IFERROR(J16/C16,"")</f>
        <v/>
      </c>
      <c r="O16">
        <f>IFERROR((M16-N16)/N16,"")</f>
        <v/>
      </c>
      <c r="P16">
        <f>IF(J16="","",IF(AND(L16="Y",K16&gt;=0.97,K16&lt;=1.03,IFERROR(ABS(O16)&lt;=0.1,FALSE)),"PASS","FAIL"))</f>
        <v/>
      </c>
      <c r="R16" t="inlineStr">
        <is>
          <t>W4×F64</t>
        </is>
      </c>
      <c r="S16">
        <f>IFERROR(STDEV(M16:M17)/AVERAGE(M16:M17),"")</f>
        <v/>
      </c>
      <c r="T16">
        <f>IFERROR(SQRT(((AVERAGE(M16:M17)-N16)/N16)^2+(2*STDEV(M16:M17)/AVERAGE(M16:M17))^2),"")</f>
        <v/>
      </c>
    </row>
    <row r="17">
      <c r="A17" t="inlineStr">
        <is>
          <t>WF</t>
        </is>
      </c>
      <c r="B17" t="inlineStr">
        <is>
          <t>158µm</t>
        </is>
      </c>
      <c r="C17" t="n">
        <v>158</v>
      </c>
      <c r="D17" t="n">
        <v>60.5</v>
      </c>
      <c r="E17" t="n">
        <v>1.5</v>
      </c>
      <c r="F17">
        <f>IFERROR(ROUND(C17*0.2828/E17,0),"")</f>
        <v/>
      </c>
      <c r="G17" t="n">
        <v>64</v>
      </c>
      <c r="H17" t="n">
        <v>4</v>
      </c>
      <c r="I17" t="n">
        <v>2</v>
      </c>
      <c r="K17">
        <f>IFERROR(J17/C17,"")</f>
        <v/>
      </c>
      <c r="O17">
        <f>IFERROR((M17-N17)/N17,"")</f>
        <v/>
      </c>
      <c r="P17">
        <f>IF(J17="","",IF(AND(L17="Y",K17&gt;=0.97,K17&lt;=1.03,IFERROR(ABS(O17)&lt;=0.1,FALSE)),"PASS","FAIL"))</f>
        <v/>
      </c>
      <c r="R17" t="inlineStr"/>
    </row>
    <row r="18">
      <c r="A18" t="inlineStr">
        <is>
          <t>WF</t>
        </is>
      </c>
      <c r="B18" t="inlineStr">
        <is>
          <t>158µm</t>
        </is>
      </c>
      <c r="C18" t="n">
        <v>158</v>
      </c>
      <c r="D18" t="n">
        <v>60.5</v>
      </c>
      <c r="E18" t="n">
        <v>1.5</v>
      </c>
      <c r="F18">
        <f>IFERROR(ROUND(C18*0.2828/E18,0),"")</f>
        <v/>
      </c>
      <c r="G18" t="n">
        <v>32</v>
      </c>
      <c r="H18" t="n">
        <v>6</v>
      </c>
      <c r="I18" t="n">
        <v>1</v>
      </c>
      <c r="K18">
        <f>IFERROR(J18/C18,"")</f>
        <v/>
      </c>
      <c r="O18">
        <f>IFERROR((M18-N18)/N18,"")</f>
        <v/>
      </c>
      <c r="P18">
        <f>IF(J18="","",IF(AND(L18="Y",K18&gt;=0.97,K18&lt;=1.03,IFERROR(ABS(O18)&lt;=0.1,FALSE)),"PASS","FAIL"))</f>
        <v/>
      </c>
      <c r="R18" t="inlineStr">
        <is>
          <t>W6×F32</t>
        </is>
      </c>
      <c r="S18">
        <f>IFERROR(STDEV(M18:M19)/AVERAGE(M18:M19),"")</f>
        <v/>
      </c>
      <c r="T18">
        <f>IFERROR(SQRT(((AVERAGE(M18:M19)-N18)/N18)^2+(2*STDEV(M18:M19)/AVERAGE(M18:M19))^2),"")</f>
        <v/>
      </c>
    </row>
    <row r="19">
      <c r="A19" t="inlineStr">
        <is>
          <t>WF</t>
        </is>
      </c>
      <c r="B19" t="inlineStr">
        <is>
          <t>158µm</t>
        </is>
      </c>
      <c r="C19" t="n">
        <v>158</v>
      </c>
      <c r="D19" t="n">
        <v>60.5</v>
      </c>
      <c r="E19" t="n">
        <v>1.5</v>
      </c>
      <c r="F19">
        <f>IFERROR(ROUND(C19*0.2828/E19,0),"")</f>
        <v/>
      </c>
      <c r="G19" t="n">
        <v>32</v>
      </c>
      <c r="H19" t="n">
        <v>6</v>
      </c>
      <c r="I19" t="n">
        <v>2</v>
      </c>
      <c r="K19">
        <f>IFERROR(J19/C19,"")</f>
        <v/>
      </c>
      <c r="O19">
        <f>IFERROR((M19-N19)/N19,"")</f>
        <v/>
      </c>
      <c r="P19">
        <f>IF(J19="","",IF(AND(L19="Y",K19&gt;=0.97,K19&lt;=1.03,IFERROR(ABS(O19)&lt;=0.1,FALSE)),"PASS","FAIL"))</f>
        <v/>
      </c>
      <c r="R19" t="inlineStr"/>
    </row>
    <row r="20">
      <c r="A20" t="inlineStr">
        <is>
          <t>WF</t>
        </is>
      </c>
      <c r="B20" t="inlineStr">
        <is>
          <t>158µm</t>
        </is>
      </c>
      <c r="C20" t="n">
        <v>158</v>
      </c>
      <c r="D20" t="n">
        <v>60.5</v>
      </c>
      <c r="E20" t="n">
        <v>1.5</v>
      </c>
      <c r="F20">
        <f>IFERROR(ROUND(C20*0.2828/E20,0),"")</f>
        <v/>
      </c>
      <c r="G20" t="n">
        <v>64</v>
      </c>
      <c r="H20" t="n">
        <v>6</v>
      </c>
      <c r="I20" t="n">
        <v>1</v>
      </c>
      <c r="K20">
        <f>IFERROR(J20/C20,"")</f>
        <v/>
      </c>
      <c r="O20">
        <f>IFERROR((M20-N20)/N20,"")</f>
        <v/>
      </c>
      <c r="P20">
        <f>IF(J20="","",IF(AND(L20="Y",K20&gt;=0.97,K20&lt;=1.03,IFERROR(ABS(O20)&lt;=0.1,FALSE)),"PASS","FAIL"))</f>
        <v/>
      </c>
      <c r="R20" t="inlineStr">
        <is>
          <t>W6×F64</t>
        </is>
      </c>
      <c r="S20">
        <f>IFERROR(STDEV(M20:M21)/AVERAGE(M20:M21),"")</f>
        <v/>
      </c>
      <c r="T20">
        <f>IFERROR(SQRT(((AVERAGE(M20:M21)-N20)/N20)^2+(2*STDEV(M20:M21)/AVERAGE(M20:M21))^2),"")</f>
        <v/>
      </c>
    </row>
    <row r="21">
      <c r="A21" t="inlineStr">
        <is>
          <t>WF</t>
        </is>
      </c>
      <c r="B21" t="inlineStr">
        <is>
          <t>158µm</t>
        </is>
      </c>
      <c r="C21" t="n">
        <v>158</v>
      </c>
      <c r="D21" t="n">
        <v>60.5</v>
      </c>
      <c r="E21" t="n">
        <v>1.5</v>
      </c>
      <c r="F21">
        <f>IFERROR(ROUND(C21*0.2828/E21,0),"")</f>
        <v/>
      </c>
      <c r="G21" t="n">
        <v>64</v>
      </c>
      <c r="H21" t="n">
        <v>6</v>
      </c>
      <c r="I21" t="n">
        <v>2</v>
      </c>
      <c r="K21">
        <f>IFERROR(J21/C21,"")</f>
        <v/>
      </c>
      <c r="O21">
        <f>IFERROR((M21-N21)/N21,"")</f>
        <v/>
      </c>
      <c r="P21">
        <f>IF(J21="","",IF(AND(L21="Y",K21&gt;=0.97,K21&lt;=1.03,IFERROR(ABS(O21)&lt;=0.1,FALSE)),"PASS","FAIL"))</f>
        <v/>
      </c>
      <c r="R21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7" customWidth="1" min="4" max="4"/>
    <col width="9" customWidth="1" min="5" max="5"/>
    <col width="8" customWidth="1" min="6" max="6"/>
    <col width="6" customWidth="1" min="7" max="7"/>
    <col width="6" customWidth="1" min="8" max="8"/>
    <col width="6" customWidth="1" min="9" max="9"/>
    <col width="11" customWidth="1" min="10" max="10"/>
    <col width="16" customWidth="1" min="11" max="11"/>
    <col width="9" customWidth="1" min="12" max="12"/>
    <col width="16" customWidth="1" min="13" max="13"/>
    <col width="15" customWidth="1" min="14" max="14"/>
    <col width="13" customWidth="1" min="15" max="15"/>
    <col width="10" customWidth="1" min="16" max="16"/>
    <col width="8" customWidth="1" min="17" max="17"/>
    <col width="24" customWidth="1" min="18" max="18"/>
    <col width="14" customWidth="1" min="19" max="19"/>
    <col width="17" customWidth="1" min="20" max="20"/>
  </cols>
  <sheetData>
    <row r="1">
      <c r="A1" s="1" t="inlineStr">
        <is>
          <t>Phase4_확인</t>
        </is>
      </c>
    </row>
    <row r="2">
      <c r="A2" s="6" t="inlineStr">
        <is>
          <t>모델 산출 (kV,R,F,W)로 자재별 ×3반복. 합격: 매칭Y &amp; Q_dia97~103% &amp; 총오차_rel≤10%(정확도) &amp; tact 최소.</t>
        </is>
      </c>
    </row>
    <row r="3">
      <c r="A3" s="4" t="inlineStr">
        <is>
          <t>정확도=총오차≤10%(픽셀화⊕노이즈). N_target≈29 · R≥0.2 · F≥32. D=PD직경(독립)/측정직경=종속/void%=장비출력(측정면적).</t>
        </is>
      </c>
    </row>
    <row r="5">
      <c r="A5" s="7" t="inlineStr">
        <is>
          <t>Run</t>
        </is>
      </c>
      <c r="B5" s="7" t="inlineStr">
        <is>
          <t>자재</t>
        </is>
      </c>
      <c r="C5" s="7" t="inlineStr">
        <is>
          <t>PD직경 D(µm)</t>
        </is>
      </c>
      <c r="D5" s="7" t="inlineStr">
        <is>
          <t>kV</t>
        </is>
      </c>
      <c r="E5" s="7" t="inlineStr">
        <is>
          <t>R(µm/px)</t>
        </is>
      </c>
      <c r="F5" s="7" t="inlineStr">
        <is>
          <t>N(자동)</t>
        </is>
      </c>
      <c r="G5" s="7" t="inlineStr">
        <is>
          <t>F</t>
        </is>
      </c>
      <c r="H5" s="7" t="inlineStr">
        <is>
          <t>W</t>
        </is>
      </c>
      <c r="I5" s="7" t="inlineStr">
        <is>
          <t>반복#</t>
        </is>
      </c>
      <c r="J5" s="7" t="inlineStr">
        <is>
          <t>측정직경(µm)</t>
        </is>
      </c>
      <c r="K5" s="7" t="inlineStr">
        <is>
          <t>Q_dia(자동)=측정÷PD</t>
        </is>
      </c>
      <c r="L5" s="7" t="inlineStr">
        <is>
          <t>매칭(Y/N)</t>
        </is>
      </c>
      <c r="M5" s="7" t="inlineStr">
        <is>
          <t>void%(측정,장비값)</t>
        </is>
      </c>
      <c r="N5" s="7" t="inlineStr">
        <is>
          <t>기준gold void%</t>
        </is>
      </c>
      <c r="O5" s="7" t="inlineStr">
        <is>
          <t>void편차%(자동)</t>
        </is>
      </c>
      <c r="P5" s="7" t="inlineStr">
        <is>
          <t>판정(자동)</t>
        </is>
      </c>
      <c r="Q5" s="7" t="inlineStr">
        <is>
          <t>tact(초)</t>
        </is>
      </c>
      <c r="R5" s="7" t="inlineStr">
        <is>
          <t>메모</t>
        </is>
      </c>
      <c r="S5" s="7" t="inlineStr">
        <is>
          <t>void%σ_rel(자동)</t>
        </is>
      </c>
      <c r="T5" s="7" t="inlineStr">
        <is>
          <t>총오차_rel(자동)≤0.10</t>
        </is>
      </c>
    </row>
    <row r="6">
      <c r="A6" t="inlineStr">
        <is>
          <t>C-26</t>
        </is>
      </c>
      <c r="B6" t="inlineStr">
        <is>
          <t>26µm</t>
        </is>
      </c>
      <c r="C6" t="n">
        <v>26</v>
      </c>
      <c r="D6" t="inlineStr">
        <is>
          <t>(모델kV*)</t>
        </is>
      </c>
      <c r="E6" t="inlineStr">
        <is>
          <t>(모델R≈0.25)</t>
        </is>
      </c>
      <c r="F6">
        <f>IFERROR(ROUND(C6*0.2828/E6,0),"")</f>
        <v/>
      </c>
      <c r="G6" t="inlineStr">
        <is>
          <t>(모델F≥32)</t>
        </is>
      </c>
      <c r="H6" t="inlineStr">
        <is>
          <t>(모델W)</t>
        </is>
      </c>
      <c r="I6" t="n">
        <v>1</v>
      </c>
      <c r="K6">
        <f>IFERROR(J6/C6,"")</f>
        <v/>
      </c>
      <c r="O6">
        <f>IFERROR((M6-N6)/N6,"")</f>
        <v/>
      </c>
      <c r="P6">
        <f>IF(J6="","",IF(AND(L6="Y",K6&gt;=0.97,K6&lt;=1.03,IFERROR(ABS(O6)&lt;=0.1,FALSE)),"PASS","FAIL"))</f>
        <v/>
      </c>
      <c r="R6" t="inlineStr">
        <is>
          <t>정확도(총오차≤10%) 확인</t>
        </is>
      </c>
      <c r="S6">
        <f>IFERROR(STDEV(M6:M8)/AVERAGE(M6:M8),"")</f>
        <v/>
      </c>
      <c r="T6">
        <f>IFERROR(SQRT(((AVERAGE(M6:M8)-N6)/N6)^2+(2*STDEV(M6:M8)/AVERAGE(M6:M8))^2),"")</f>
        <v/>
      </c>
    </row>
    <row r="7">
      <c r="A7" t="inlineStr">
        <is>
          <t>C-26</t>
        </is>
      </c>
      <c r="B7" t="inlineStr">
        <is>
          <t>26µm</t>
        </is>
      </c>
      <c r="C7" t="n">
        <v>26</v>
      </c>
      <c r="D7" t="inlineStr">
        <is>
          <t>(모델kV*)</t>
        </is>
      </c>
      <c r="E7" t="inlineStr">
        <is>
          <t>(모델R≈0.25)</t>
        </is>
      </c>
      <c r="F7">
        <f>IFERROR(ROUND(C7*0.2828/E7,0),"")</f>
        <v/>
      </c>
      <c r="G7" t="inlineStr">
        <is>
          <t>(모델F≥32)</t>
        </is>
      </c>
      <c r="H7" t="inlineStr">
        <is>
          <t>(모델W)</t>
        </is>
      </c>
      <c r="I7" t="n">
        <v>2</v>
      </c>
      <c r="K7">
        <f>IFERROR(J7/C7,"")</f>
        <v/>
      </c>
      <c r="O7">
        <f>IFERROR((M7-N7)/N7,"")</f>
        <v/>
      </c>
      <c r="P7">
        <f>IF(J7="","",IF(AND(L7="Y",K7&gt;=0.97,K7&lt;=1.03,IFERROR(ABS(O7)&lt;=0.1,FALSE)),"PASS","FAIL"))</f>
        <v/>
      </c>
      <c r="R7" t="inlineStr"/>
    </row>
    <row r="8">
      <c r="A8" t="inlineStr">
        <is>
          <t>C-26</t>
        </is>
      </c>
      <c r="B8" t="inlineStr">
        <is>
          <t>26µm</t>
        </is>
      </c>
      <c r="C8" t="n">
        <v>26</v>
      </c>
      <c r="D8" t="inlineStr">
        <is>
          <t>(모델kV*)</t>
        </is>
      </c>
      <c r="E8" t="inlineStr">
        <is>
          <t>(모델R≈0.25)</t>
        </is>
      </c>
      <c r="F8">
        <f>IFERROR(ROUND(C8*0.2828/E8,0),"")</f>
        <v/>
      </c>
      <c r="G8" t="inlineStr">
        <is>
          <t>(모델F≥32)</t>
        </is>
      </c>
      <c r="H8" t="inlineStr">
        <is>
          <t>(모델W)</t>
        </is>
      </c>
      <c r="I8" t="n">
        <v>3</v>
      </c>
      <c r="K8">
        <f>IFERROR(J8/C8,"")</f>
        <v/>
      </c>
      <c r="O8">
        <f>IFERROR((M8-N8)/N8,"")</f>
        <v/>
      </c>
      <c r="P8">
        <f>IF(J8="","",IF(AND(L8="Y",K8&gt;=0.97,K8&lt;=1.03,IFERROR(ABS(O8)&lt;=0.1,FALSE)),"PASS","FAIL"))</f>
        <v/>
      </c>
      <c r="R8" t="inlineStr"/>
    </row>
    <row r="9">
      <c r="A9" t="inlineStr">
        <is>
          <t>C-158</t>
        </is>
      </c>
      <c r="B9" t="inlineStr">
        <is>
          <t>158µm</t>
        </is>
      </c>
      <c r="C9" t="n">
        <v>158</v>
      </c>
      <c r="D9" t="inlineStr">
        <is>
          <t>(모델kV*)</t>
        </is>
      </c>
      <c r="E9" t="inlineStr">
        <is>
          <t>(모델R≈1.5)</t>
        </is>
      </c>
      <c r="F9">
        <f>IFERROR(ROUND(C9*0.2828/E9,0),"")</f>
        <v/>
      </c>
      <c r="G9" t="inlineStr">
        <is>
          <t>(모델F≥32)</t>
        </is>
      </c>
      <c r="H9" t="inlineStr">
        <is>
          <t>(모델W)</t>
        </is>
      </c>
      <c r="I9" t="n">
        <v>1</v>
      </c>
      <c r="K9">
        <f>IFERROR(J9/C9,"")</f>
        <v/>
      </c>
      <c r="O9">
        <f>IFERROR((M9-N9)/N9,"")</f>
        <v/>
      </c>
      <c r="P9">
        <f>IF(J9="","",IF(AND(L9="Y",K9&gt;=0.97,K9&lt;=1.03,IFERROR(ABS(O9)&lt;=0.1,FALSE)),"PASS","FAIL"))</f>
        <v/>
      </c>
      <c r="R9" t="inlineStr">
        <is>
          <t>정확도(총오차≤10%) 확인</t>
        </is>
      </c>
      <c r="S9">
        <f>IFERROR(STDEV(M9:M11)/AVERAGE(M9:M11),"")</f>
        <v/>
      </c>
      <c r="T9">
        <f>IFERROR(SQRT(((AVERAGE(M9:M11)-N9)/N9)^2+(2*STDEV(M9:M11)/AVERAGE(M9:M11))^2),"")</f>
        <v/>
      </c>
    </row>
    <row r="10">
      <c r="A10" t="inlineStr">
        <is>
          <t>C-158</t>
        </is>
      </c>
      <c r="B10" t="inlineStr">
        <is>
          <t>158µm</t>
        </is>
      </c>
      <c r="C10" t="n">
        <v>158</v>
      </c>
      <c r="D10" t="inlineStr">
        <is>
          <t>(모델kV*)</t>
        </is>
      </c>
      <c r="E10" t="inlineStr">
        <is>
          <t>(모델R≈1.5)</t>
        </is>
      </c>
      <c r="F10">
        <f>IFERROR(ROUND(C10*0.2828/E10,0),"")</f>
        <v/>
      </c>
      <c r="G10" t="inlineStr">
        <is>
          <t>(모델F≥32)</t>
        </is>
      </c>
      <c r="H10" t="inlineStr">
        <is>
          <t>(모델W)</t>
        </is>
      </c>
      <c r="I10" t="n">
        <v>2</v>
      </c>
      <c r="K10">
        <f>IFERROR(J10/C10,"")</f>
        <v/>
      </c>
      <c r="O10">
        <f>IFERROR((M10-N10)/N10,"")</f>
        <v/>
      </c>
      <c r="P10">
        <f>IF(J10="","",IF(AND(L10="Y",K10&gt;=0.97,K10&lt;=1.03,IFERROR(ABS(O10)&lt;=0.1,FALSE)),"PASS","FAIL"))</f>
        <v/>
      </c>
      <c r="R10" t="inlineStr"/>
    </row>
    <row r="11">
      <c r="A11" t="inlineStr">
        <is>
          <t>C-158</t>
        </is>
      </c>
      <c r="B11" t="inlineStr">
        <is>
          <t>158µm</t>
        </is>
      </c>
      <c r="C11" t="n">
        <v>158</v>
      </c>
      <c r="D11" t="inlineStr">
        <is>
          <t>(모델kV*)</t>
        </is>
      </c>
      <c r="E11" t="inlineStr">
        <is>
          <t>(모델R≈1.5)</t>
        </is>
      </c>
      <c r="F11">
        <f>IFERROR(ROUND(C11*0.2828/E11,0),"")</f>
        <v/>
      </c>
      <c r="G11" t="inlineStr">
        <is>
          <t>(모델F≥32)</t>
        </is>
      </c>
      <c r="H11" t="inlineStr">
        <is>
          <t>(모델W)</t>
        </is>
      </c>
      <c r="I11" t="n">
        <v>3</v>
      </c>
      <c r="K11">
        <f>IFERROR(J11/C11,"")</f>
        <v/>
      </c>
      <c r="O11">
        <f>IFERROR((M11-N11)/N11,"")</f>
        <v/>
      </c>
      <c r="P11">
        <f>IF(J11="","",IF(AND(L11="Y",K11&gt;=0.97,K11&lt;=1.03,IFERROR(ABS(O11)&lt;=0.1,FALSE)),"PASS","FAIL"))</f>
        <v/>
      </c>
      <c r="R11" t="inlineStr"/>
    </row>
  </sheetData>
  <mergeCells count="2">
    <mergeCell ref="A3:R3"/>
    <mergeCell ref="A2:R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역설계 모델 — 정확도(총오차≤10%) 만족 설정 중 최소 tact 선택</t>
        </is>
      </c>
    </row>
    <row r="3">
      <c r="A3" s="5" t="inlineStr">
        <is>
          <t>■ 확정할 계수</t>
        </is>
      </c>
    </row>
    <row r="4">
      <c r="A4" s="1" t="inlineStr">
        <is>
          <t>kV 직경식</t>
        </is>
      </c>
      <c r="B4" s="4" t="inlineStr">
        <is>
          <t>측정직경/PD=1+s·(kV−kV0). Phase1로 s·kV*</t>
        </is>
      </c>
    </row>
    <row r="5">
      <c r="A5" s="1" t="inlineStr">
        <is>
          <t>N_target</t>
        </is>
      </c>
      <c r="B5" s="4" t="inlineStr">
        <is>
          <t>총오차 예산: 2/N≤~7% → N≈29. Phase1 R스윕·Phase2 σ로 정밀화(총오차≤10% 되는 최대 R)</t>
        </is>
      </c>
    </row>
    <row r="6">
      <c r="A6" s="1" t="inlineStr">
        <is>
          <t>σ(F)</t>
        </is>
      </c>
      <c r="B6" s="4" t="inlineStr">
        <is>
          <t>Phase2 F스윕: 2σ≤~7%(σ≤3.5%) 되는 최소 Frame(≥32)</t>
        </is>
      </c>
    </row>
    <row r="7">
      <c r="A7" s="1" t="inlineStr">
        <is>
          <t>W*(두꺼운)</t>
        </is>
      </c>
      <c r="B7" s="4" t="inlineStr">
        <is>
          <t>Phase2 W스윕: 깜빡임0·σ최소·블러가드. 얇은=4W</t>
        </is>
      </c>
    </row>
    <row r="8">
      <c r="A8" s="1" t="inlineStr">
        <is>
          <t>교호작용</t>
        </is>
      </c>
      <c r="B8" s="4" t="inlineStr">
        <is>
          <t>Phase3 kV×R·W×F 계수</t>
        </is>
      </c>
    </row>
    <row r="9">
      <c r="A9" s="1" t="inlineStr">
        <is>
          <t>tact</t>
        </is>
      </c>
      <c r="B9" s="4" t="inlineStr">
        <is>
          <t>tact=a·(shot수·F)+b. 정확도 만족 설정 안에서만 최소화</t>
        </is>
      </c>
    </row>
    <row r="11">
      <c r="A11" s="5" t="inlineStr">
        <is>
          <t>■ 역설계 규칙 (정확도 우선 → 그 안에서 시간최소)</t>
        </is>
      </c>
    </row>
    <row r="12">
      <c r="A12" s="1" t="inlineStr">
        <is>
          <t>입력</t>
        </is>
      </c>
      <c r="B12" s="4" t="inlineStr">
        <is>
          <t>PD직경 D, void임계 p(8%), (알면)높이 h</t>
        </is>
      </c>
    </row>
    <row r="13">
      <c r="A13" s="1" t="inlineStr">
        <is>
          <t>1) kV</t>
        </is>
      </c>
      <c r="B13" s="4" t="inlineStr">
        <is>
          <t>kV*(D)서 시작 1kV씩 트림→측정직경=PD(100%)</t>
        </is>
      </c>
    </row>
    <row r="14">
      <c r="A14" s="1" t="inlineStr">
        <is>
          <t>2) R</t>
        </is>
      </c>
      <c r="B14" s="4" t="inlineStr">
        <is>
          <t>정확도 한계 내 최대 R = min(D√p/N_target, 총오차≤10% 되는 R). 26µm≈0.25·158µm≈1.5, R≥0.2</t>
        </is>
      </c>
    </row>
    <row r="15">
      <c r="A15" s="1" t="inlineStr">
        <is>
          <t>3) F</t>
        </is>
      </c>
      <c r="B15" s="4" t="inlineStr">
        <is>
          <t>σ≤목표 되는 최소 F(≥32)</t>
        </is>
      </c>
    </row>
    <row r="16">
      <c r="A16" s="1" t="inlineStr">
        <is>
          <t>4) W</t>
        </is>
      </c>
      <c r="B16" s="4" t="inlineStr">
        <is>
          <t>얇으면 4W, 두꺼우면 W*(D). 블러 가드 내에서 W↑로 F↓ 교환</t>
        </is>
      </c>
    </row>
    <row r="17">
      <c r="A17" s="1" t="inlineStr">
        <is>
          <t>5) 검증</t>
        </is>
      </c>
      <c r="B17" s="4" t="inlineStr">
        <is>
          <t>총오차≤10% &amp; 매칭 &amp; Q_dia 확인 후 tact 계산. 미달이면 정확도 우선으로 R↓·F↑</t>
        </is>
      </c>
    </row>
    <row r="19">
      <c r="A19" s="4" t="inlineStr">
        <is>
          <t>※ 정확도가 설정을 고정하면 시간여유가 적어도 그대로 둔다(정확도&gt;시간). 확정 계수는 레시피모델·계산기에 반영.</t>
        </is>
      </c>
    </row>
    <row r="20"/>
  </sheetData>
  <mergeCells count="13">
    <mergeCell ref="B8:H8"/>
    <mergeCell ref="B14:H14"/>
    <mergeCell ref="B17:H17"/>
    <mergeCell ref="B9:H9"/>
    <mergeCell ref="B13:H13"/>
    <mergeCell ref="B4:H4"/>
    <mergeCell ref="B12:H12"/>
    <mergeCell ref="B6:H6"/>
    <mergeCell ref="B16:H16"/>
    <mergeCell ref="B15:H15"/>
    <mergeCell ref="B7:H7"/>
    <mergeCell ref="A19:H2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2026-07-05T14:36:03Z</dcterms:created>
  <dcterms:modified xmlns:dcterms="http://purl.org/dc/terms/" xmlns:xsi="http://www.w3.org/2001/XMLSchema-instance" xsi:type="dcterms:W3CDTF">2026-07-05T14:36:03Z</dcterms:modified>
</cp:coreProperties>
</file>