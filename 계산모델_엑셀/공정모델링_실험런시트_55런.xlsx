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kV가 분모(측정면적)에도 작용해 void%에 이중효과.</t>
        </is>
      </c>
    </row>
    <row r="9"/>
    <row r="10"/>
    <row r="12">
      <c r="A12" s="3" t="inlineStr">
        <is>
          <t>■ R–N–범프크기 관계 (중요)</t>
        </is>
      </c>
    </row>
    <row r="13">
      <c r="A13" s="2" t="inlineStr">
        <is>
          <t>N = 0.283·PD직경 / R (N=void가 담기는 픽셀 수). 같은 N을 얻는 R = 0.283·D/N → 범프가 클수록 R을 높여도 됨. 'N 클수록 검출 유리'는 맞지만 N_target(~29) 넘으면 판정 오차는 이미 예산 안이라 그 이상은 시간낭비(시간∝1/R²). 따라서 최적 R = N_target을 주는 '가장 높은(거친) R'. 큰 범프일수록 이 값이 높다.</t>
        </is>
      </c>
    </row>
    <row r="14"/>
    <row r="15"/>
    <row r="16"/>
    <row r="18">
      <c r="A18" s="3" t="inlineStr">
        <is>
          <t>■ 장비 제약 R≥0.2 + 자재별 R (운영값)</t>
        </is>
      </c>
    </row>
    <row r="19">
      <c r="A19" s="2" t="inlineStr">
        <is>
          <t>· 26µm: R0.2에서 N=37이 최대(픽셀오차5.4%). R 자유도 거의 없음(0.2 고정) → 시간단축은 shot수·Frame. · 158µm: 운영 R=1.5(N30)로 높음. R스윕 최저점 gold(R0.77·N58)은 '기준 truth'용 앵커일 뿐 운영값 아님 (큰 범프는 R 높여도 N 충분). → 작은 범프일수록 R 자유도가 없다.</t>
        </is>
      </c>
    </row>
    <row r="20"/>
    <row r="21"/>
    <row r="22"/>
    <row r="24">
      <c r="A24" s="4" t="inlineStr">
        <is>
          <t>■ 설계 원리</t>
        </is>
      </c>
    </row>
    <row r="25">
      <c r="A25" s="2" t="inlineStr">
        <is>
          <t>교호작용→OFAT 불가. [주효과 스윕+의심 교호작용 2×2+같은범프 반복(σ)]. ε=10% 총예산 (2/N)²+(2σ)²≤10² → N_target≈29(26µm은 R하한 탓 N37)·σ≤3.5%. Ground truth 없어 자기참조(gold)+재현성.</t>
        </is>
      </c>
    </row>
    <row r="26"/>
    <row r="27"/>
    <row r="29">
      <c r="A29" s="7" t="inlineStr">
        <is>
          <t>■ 26µm 측정오차 목표: 10%→13%로 완화 (R하한 반영, 잠정)</t>
        </is>
      </c>
    </row>
    <row r="30">
      <c r="A30" s="2" t="inlineStr">
        <is>
          <t>R=0.2에서 N=37 → 픽셀화오차 2/N=5.4%가 고정(더 못 내림, R 하한). 총오차=√(5.4²+(2σ)²). 노이즈 2σ~12%(σ~6%, 보통 Frame)면 총 ≈13%. → 26µm은 ε=13%(잠정) 권장, 158µm 등은 10% 유지. 10% 고집 시 σ≤4.2% 강요→Frame·시간 낭비(검사시간 최소화와 충돌). 물리 하한 ~6%(노이즈0)라 5% 이하 불가. 게이지 '허용' 범위 내. 최종값은 Phase2 실측 σ로 √(5.4²+(2σ)²) 확정(노이즈 낮으면 10%로 재조임). 판정 수식도 26µm=±13%, 그 외=±10% 로 반영함.</t>
        </is>
      </c>
    </row>
    <row r="31"/>
    <row r="32"/>
    <row r="33"/>
    <row r="34"/>
  </sheetData>
  <mergeCells count="13">
    <mergeCell ref="A8:H10"/>
    <mergeCell ref="A4:H4"/>
    <mergeCell ref="A12:H12"/>
    <mergeCell ref="A18:H18"/>
    <mergeCell ref="A30:H34"/>
    <mergeCell ref="A25:H27"/>
    <mergeCell ref="A7:H7"/>
    <mergeCell ref="A19:H22"/>
    <mergeCell ref="A29:H29"/>
    <mergeCell ref="A2:H2"/>
    <mergeCell ref="B6:H6"/>
    <mergeCell ref="B5:H5"/>
    <mergeCell ref="A13:H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gold(최정밀행)=기준 truth 앵커. 26µm gold=R0.2(N37,장비하한) / 158µm gold=R0.77(N58). 고정 F32·W4.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IF(J6="","",IF(AND(L6="Y",K6&gt;=0.97,K6&lt;=1.03,IFERROR(ABS(O6)&lt;=IF(B6="26µm",0.13,0.1),FALSE)),"PASS","FAIL"))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IF(J7="","",IF(AND(L7="Y",K7&gt;=0.97,K7&lt;=1.03,IFERROR(ABS(O7)&lt;=IF(B7="26µm",0.13,0.1),FALSE)),"PASS","FAIL"))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IF(J8="","",IF(AND(L8="Y",K8&gt;=0.97,K8&lt;=1.03,IFERROR(ABS(O8)&lt;=IF(B8="26µm",0.13,0.1),FALSE)),"PASS","FAIL"))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IF(J9="","",IF(AND(L9="Y",K9&gt;=0.97,K9&lt;=1.03,IFERROR(ABS(O9)&lt;=IF(B9="26µm",0.13,0.1),FALSE)),"PASS","FAIL"))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IF(J10="","",IF(AND(L10="Y",K10&gt;=0.97,K10&lt;=1.03,IFERROR(ABS(O10)&lt;=IF(B10="26µm",0.13,0.1),FALSE)),"PASS","FAIL"))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IF(J11="","",IF(AND(L11="Y",K11&gt;=0.97,K11&lt;=1.03,IFERROR(ABS(O11)&lt;=IF(B11="26µm",0.13,0.1),FALSE)),"PASS","FAIL"))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IF(J12="","",IF(AND(L12="Y",K12&gt;=0.97,K12&lt;=1.03,IFERROR(ABS(O12)&lt;=IF(B12="26µm",0.13,0.1),FALSE)),"PASS","FAIL"))</f>
        <v/>
      </c>
      <c r="R12" t="inlineStr">
        <is>
          <t>N≈37 =gold(R하한)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0.3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IF(J13="","",IF(AND(L13="Y",K13&gt;=0.97,K13&lt;=1.03,IFERROR(ABS(O13)&lt;=IF(B13="26µm",0.13,0.1),FALSE)),"PASS","FAIL"))</f>
        <v/>
      </c>
      <c r="R13" t="inlineStr">
        <is>
          <t>N≈25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IF(J14="","",IF(AND(L14="Y",K14&gt;=0.97,K14&lt;=1.03,IFERROR(ABS(O14)&lt;=IF(B14="26µm",0.13,0.1),FALSE)),"PASS","FAIL"))</f>
        <v/>
      </c>
      <c r="R14" t="inlineStr">
        <is>
          <t>N≈15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IF(J15="","",IF(AND(L15="Y",K15&gt;=0.97,K15&lt;=1.03,IFERROR(ABS(O15)&lt;=IF(B15="26µm",0.13,0.1),FALSE)),"PASS","FAIL"))</f>
        <v/>
      </c>
      <c r="R15" t="inlineStr">
        <is>
          <t>N≈58 =gold(기준앵커)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IF(J16="","",IF(AND(L16="Y",K16&gt;=0.97,K16&lt;=1.03,IFERROR(ABS(O16)&lt;=IF(B16="26µm",0.13,0.1),FALSE)),"PASS","FAIL"))</f>
        <v/>
      </c>
      <c r="R16" t="inlineStr">
        <is>
          <t>N≈30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IF(J17="","",IF(AND(L17="Y",K17&gt;=0.97,K17&lt;=1.03,IFERROR(ABS(O17)&lt;=IF(B17="26µm",0.13,0.1),FALSE)),"PASS","FAIL"))</f>
        <v/>
      </c>
      <c r="R17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26µm=F스윕(R0.2·W4), 158µm=W스윕(R1.5·F32). kV*.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0.2</v>
      </c>
      <c r="F6">
        <f>IFERROR(ROUND(C6*0.2828/E6,0),"")</f>
        <v/>
      </c>
      <c r="G6" t="n">
        <v>16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IF(J6="","",IF(AND(L6="Y",K6&gt;=0.97,K6&lt;=1.03,IFERROR(ABS(O6)&lt;=IF(B6="26µm",0.13,0.1),FALSE)),"PASS","FAIL"))</f>
        <v/>
      </c>
      <c r="R6" t="inlineStr">
        <is>
          <t>F=16 재현성</t>
        </is>
      </c>
      <c r="S6">
        <f>IFERROR(STDEV(M6:M8)/AVERAGE(M6:M8),"")</f>
        <v/>
      </c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16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IF(J7="","",IF(AND(L7="Y",K7&gt;=0.97,K7&lt;=1.03,IFERROR(ABS(O7)&lt;=IF(B7="26µm",0.13,0.1),FALSE)),"PASS","FAIL"))</f>
        <v/>
      </c>
    </row>
    <row r="8">
      <c r="A8" t="inlineStr">
        <is>
          <t>F16</t>
        </is>
      </c>
      <c r="B8" t="inlineStr">
        <is>
          <t>26µm</t>
        </is>
      </c>
      <c r="C8" t="n">
        <v>26</v>
      </c>
      <c r="D8" t="n">
        <v>57.5</v>
      </c>
      <c r="E8" t="n">
        <v>0.2</v>
      </c>
      <c r="F8">
        <f>IFERROR(ROUND(C8*0.2828/E8,0),"")</f>
        <v/>
      </c>
      <c r="G8" t="n">
        <v>16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IF(J8="","",IF(AND(L8="Y",K8&gt;=0.97,K8&lt;=1.03,IFERROR(ABS(O8)&lt;=IF(B8="26µm",0.13,0.1),FALSE)),"PASS","FAIL"))</f>
        <v/>
      </c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0.2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IF(J9="","",IF(AND(L9="Y",K9&gt;=0.97,K9&lt;=1.03,IFERROR(ABS(O9)&lt;=IF(B9="26µm",0.13,0.1),FALSE)),"PASS","FAIL"))</f>
        <v/>
      </c>
      <c r="R9" t="inlineStr">
        <is>
          <t>F=32 재현성</t>
        </is>
      </c>
      <c r="S9">
        <f>IFERROR(STDEV(M9:M11)/AVERAGE(M9:M11),"")</f>
        <v/>
      </c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IF(J10="","",IF(AND(L10="Y",K10&gt;=0.97,K10&lt;=1.03,IFERROR(ABS(O10)&lt;=IF(B10="26µm",0.13,0.1),FALSE)),"PASS","FAIL"))</f>
        <v/>
      </c>
    </row>
    <row r="11">
      <c r="A11" t="inlineStr">
        <is>
          <t>F32</t>
        </is>
      </c>
      <c r="B11" t="inlineStr">
        <is>
          <t>26µm</t>
        </is>
      </c>
      <c r="C11" t="n">
        <v>26</v>
      </c>
      <c r="D11" t="n">
        <v>57.5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IF(J11="","",IF(AND(L11="Y",K11&gt;=0.97,K11&lt;=1.03,IFERROR(ABS(O11)&lt;=IF(B11="26µm",0.13,0.1),FALSE)),"PASS","FAIL"))</f>
        <v/>
      </c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64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IF(J12="","",IF(AND(L12="Y",K12&gt;=0.97,K12&lt;=1.03,IFERROR(ABS(O12)&lt;=IF(B12="26µm",0.13,0.1),FALSE)),"PASS","FAIL"))</f>
        <v/>
      </c>
      <c r="R12" t="inlineStr">
        <is>
          <t>F=64 재현성</t>
        </is>
      </c>
      <c r="S12">
        <f>IFERROR(STDEV(M12:M14)/AVERAGE(M12:M14),"")</f>
        <v/>
      </c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0.2</v>
      </c>
      <c r="F13">
        <f>IFERROR(ROUND(C13*0.2828/E13,0),"")</f>
        <v/>
      </c>
      <c r="G13" t="n">
        <v>64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IF(J13="","",IF(AND(L13="Y",K13&gt;=0.97,K13&lt;=1.03,IFERROR(ABS(O13)&lt;=IF(B13="26µm",0.13,0.1),FALSE)),"PASS","FAIL"))</f>
        <v/>
      </c>
    </row>
    <row r="14">
      <c r="A14" t="inlineStr">
        <is>
          <t>F64</t>
        </is>
      </c>
      <c r="B14" t="inlineStr">
        <is>
          <t>26µm</t>
        </is>
      </c>
      <c r="C14" t="n">
        <v>26</v>
      </c>
      <c r="D14" t="n">
        <v>57.5</v>
      </c>
      <c r="E14" t="n">
        <v>0.2</v>
      </c>
      <c r="F14">
        <f>IFERROR(ROUND(C14*0.2828/E14,0),"")</f>
        <v/>
      </c>
      <c r="G14" t="n">
        <v>64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IF(J14="","",IF(AND(L14="Y",K14&gt;=0.97,K14&lt;=1.03,IFERROR(ABS(O14)&lt;=IF(B14="26µm",0.13,0.1),FALSE)),"PASS","FAIL"))</f>
        <v/>
      </c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IF(J15="","",IF(AND(L15="Y",K15&gt;=0.97,K15&lt;=1.03,IFERROR(ABS(O15)&lt;=IF(B15="26µm",0.13,0.1),FALSE)),"PASS","FAIL"))</f>
        <v/>
      </c>
      <c r="R15" t="inlineStr">
        <is>
          <t>W=3 재현성·깜빡임</t>
        </is>
      </c>
      <c r="S15">
        <f>IFERROR(STDEV(M15:M17)/AVERAGE(M15:M17),"")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IF(J16="","",IF(AND(L16="Y",K16&gt;=0.97,K16&lt;=1.03,IFERROR(ABS(O16)&lt;=IF(B16="26µm",0.13,0.1),FALSE)),"PASS","FAIL"))</f>
        <v/>
      </c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IF(J17="","",IF(AND(L17="Y",K17&gt;=0.97,K17&lt;=1.03,IFERROR(ABS(O17)&lt;=IF(B17="26µm",0.13,0.1),FALSE)),"PASS","FAIL"))</f>
        <v/>
      </c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IF(J18="","",IF(AND(L18="Y",K18&gt;=0.97,K18&lt;=1.03,IFERROR(ABS(O18)&lt;=IF(B18="26µm",0.13,0.1),FALSE)),"PASS","FAIL"))</f>
        <v/>
      </c>
      <c r="R18" t="inlineStr">
        <is>
          <t>W=4 재현성·깜빡임</t>
        </is>
      </c>
      <c r="S18">
        <f>IFERROR(STDEV(M18:M20)/AVERAGE(M18:M20),"")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IF(J19="","",IF(AND(L19="Y",K19&gt;=0.97,K19&lt;=1.03,IFERROR(ABS(O19)&lt;=IF(B19="26µm",0.13,0.1),FALSE)),"PASS","FAIL"))</f>
        <v/>
      </c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IF(J20="","",IF(AND(L20="Y",K20&gt;=0.97,K20&lt;=1.03,IFERROR(ABS(O20)&lt;=IF(B20="26µm",0.13,0.1),FALSE)),"PASS","FAIL"))</f>
        <v/>
      </c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IF(J21="","",IF(AND(L21="Y",K21&gt;=0.97,K21&lt;=1.03,IFERROR(ABS(O21)&lt;=IF(B21="26µm",0.13,0.1),FALSE)),"PASS","FAIL"))</f>
        <v/>
      </c>
      <c r="R21" t="inlineStr">
        <is>
          <t>W=5 재현성·깜빡임</t>
        </is>
      </c>
      <c r="S21">
        <f>IFERROR(STDEV(M21:M23)/AVERAGE(M21:M23),"")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IF(J22="","",IF(AND(L22="Y",K22&gt;=0.97,K22&lt;=1.03,IFERROR(ABS(O22)&lt;=IF(B22="26µm",0.13,0.1),FALSE)),"PASS","FAIL"))</f>
        <v/>
      </c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1.5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IF(J23="","",IF(AND(L23="Y",K23&gt;=0.97,K23&lt;=1.03,IFERROR(ABS(O23)&lt;=IF(B23="26µm",0.13,0.1),FALSE)),"PASS","FAIL"))</f>
        <v/>
      </c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IF(J24="","",IF(AND(L24="Y",K24&gt;=0.97,K24&lt;=1.03,IFERROR(ABS(O24)&lt;=IF(B24="26µm",0.13,0.1),FALSE)),"PASS","FAIL"))</f>
        <v/>
      </c>
      <c r="R24" t="inlineStr">
        <is>
          <t>W=6 재현성·깜빡임</t>
        </is>
      </c>
      <c r="S24">
        <f>IFERROR(STDEV(M24:M26)/AVERAGE(M24:M26),"")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IF(J25="","",IF(AND(L25="Y",K25&gt;=0.97,K25&lt;=1.03,IFERROR(ABS(O25)&lt;=IF(B25="26µm",0.13,0.1),FALSE)),"PASS","FAIL"))</f>
        <v/>
      </c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1.5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IF(J26="","",IF(AND(L26="Y",K26&gt;=0.97,K26&lt;=1.03,IFERROR(ABS(O26)&lt;=IF(B26="26µm",0.13,0.1),FALSE)),"PASS","FAIL"))</f>
        <v/>
      </c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IF(J6="","",IF(AND(L6="Y",K6&gt;=0.97,K6&lt;=1.03,IFERROR(ABS(O6)&lt;=IF(B6="26µm",0.13,0.1),FALSE)),"PASS","FAIL"))</f>
        <v/>
      </c>
      <c r="R6" t="inlineStr">
        <is>
          <t>kV55.5×R0.2(N37)</t>
        </is>
      </c>
      <c r="S6">
        <f>IFERROR(STDEV(M6:M7)/AVERAGE(M6:M7),"")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IF(J7="","",IF(AND(L7="Y",K7&gt;=0.97,K7&lt;=1.03,IFERROR(ABS(O7)&lt;=IF(B7="26µm",0.13,0.1),FALSE)),"PASS","FAIL"))</f>
        <v/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0.5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IF(J8="","",IF(AND(L8="Y",K8&gt;=0.97,K8&lt;=1.03,IFERROR(ABS(O8)&lt;=IF(B8="26µm",0.13,0.1),FALSE)),"PASS","FAIL"))</f>
        <v/>
      </c>
      <c r="R8" t="inlineStr">
        <is>
          <t>kV55.5×R0.5(N15)</t>
        </is>
      </c>
      <c r="S8">
        <f>IFERROR(STDEV(M8:M9)/AVERAGE(M8:M9),"")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IF(J9="","",IF(AND(L9="Y",K9&gt;=0.97,K9&lt;=1.03,IFERROR(ABS(O9)&lt;=IF(B9="26µm",0.13,0.1),FALSE)),"PASS","FAIL"))</f>
        <v/>
      </c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IF(J10="","",IF(AND(L10="Y",K10&gt;=0.97,K10&lt;=1.03,IFERROR(ABS(O10)&lt;=IF(B10="26µm",0.13,0.1),FALSE)),"PASS","FAIL"))</f>
        <v/>
      </c>
      <c r="R10" t="inlineStr">
        <is>
          <t>kV59.5×R0.2(N37)</t>
        </is>
      </c>
      <c r="S10">
        <f>IFERROR(STDEV(M10:M11)/AVERAGE(M10:M11),"")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IF(J11="","",IF(AND(L11="Y",K11&gt;=0.97,K11&lt;=1.03,IFERROR(ABS(O11)&lt;=IF(B11="26µm",0.13,0.1),FALSE)),"PASS","FAIL"))</f>
        <v/>
      </c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IF(J12="","",IF(AND(L12="Y",K12&gt;=0.97,K12&lt;=1.03,IFERROR(ABS(O12)&lt;=IF(B12="26µm",0.13,0.1),FALSE)),"PASS","FAIL"))</f>
        <v/>
      </c>
      <c r="R12" t="inlineStr">
        <is>
          <t>kV59.5×R0.5(N15)</t>
        </is>
      </c>
      <c r="S12">
        <f>IFERROR(STDEV(M12:M13)/AVERAGE(M12:M13),"")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IF(J13="","",IF(AND(L13="Y",K13&gt;=0.97,K13&lt;=1.03,IFERROR(ABS(O13)&lt;=IF(B13="26µm",0.13,0.1),FALSE)),"PASS","FAIL"))</f>
        <v/>
      </c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16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IF(J14="","",IF(AND(L14="Y",K14&gt;=0.97,K14&lt;=1.03,IFERROR(ABS(O14)&lt;=IF(B14="26µm",0.13,0.1),FALSE)),"PASS","FAIL"))</f>
        <v/>
      </c>
      <c r="R14" t="inlineStr">
        <is>
          <t>W4×F16</t>
        </is>
      </c>
      <c r="S14">
        <f>IFERROR(STDEV(M14:M15)/AVERAGE(M14:M15),"")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16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IF(J15="","",IF(AND(L15="Y",K15&gt;=0.97,K15&lt;=1.03,IFERROR(ABS(O15)&lt;=IF(B15="26µm",0.13,0.1),FALSE)),"PASS","FAIL"))</f>
        <v/>
      </c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IF(J16="","",IF(AND(L16="Y",K16&gt;=0.97,K16&lt;=1.03,IFERROR(ABS(O16)&lt;=IF(B16="26µm",0.13,0.1),FALSE)),"PASS","FAIL"))</f>
        <v/>
      </c>
      <c r="R16" t="inlineStr">
        <is>
          <t>W4×F32</t>
        </is>
      </c>
      <c r="S16">
        <f>IFERROR(STDEV(M16:M17)/AVERAGE(M16:M17),"")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4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IF(J17="","",IF(AND(L17="Y",K17&gt;=0.97,K17&lt;=1.03,IFERROR(ABS(O17)&lt;=IF(B17="26µm",0.13,0.1),FALSE)),"PASS","FAIL"))</f>
        <v/>
      </c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16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IF(J18="","",IF(AND(L18="Y",K18&gt;=0.97,K18&lt;=1.03,IFERROR(ABS(O18)&lt;=IF(B18="26µm",0.13,0.1),FALSE)),"PASS","FAIL"))</f>
        <v/>
      </c>
      <c r="R18" t="inlineStr">
        <is>
          <t>W6×F16</t>
        </is>
      </c>
      <c r="S18">
        <f>IFERROR(STDEV(M18:M19)/AVERAGE(M18:M19),"")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16</v>
      </c>
      <c r="H19" t="n">
        <v>6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IF(J19="","",IF(AND(L19="Y",K19&gt;=0.97,K19&lt;=1.03,IFERROR(ABS(O19)&lt;=IF(B19="26µm",0.13,0.1),FALSE)),"PASS","FAIL"))</f>
        <v/>
      </c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IF(J20="","",IF(AND(L20="Y",K20&gt;=0.97,K20&lt;=1.03,IFERROR(ABS(O20)&lt;=IF(B20="26µm",0.13,0.1),FALSE)),"PASS","FAIL"))</f>
        <v/>
      </c>
      <c r="R20" t="inlineStr">
        <is>
          <t>W6×F32</t>
        </is>
      </c>
      <c r="S20">
        <f>IFERROR(STDEV(M20:M21)/AVERAGE(M20:M21),"")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IF(J21="","",IF(AND(L21="Y",K21&gt;=0.97,K21&lt;=1.03,IFERROR(ABS(O21)&lt;=IF(B21="26µm",0.13,0.1),FALSE)),"PASS","FAIL"))</f>
        <v/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(모델R≥0.2)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IF(J6="","",IF(AND(L6="Y",K6&gt;=0.97,K6&lt;=1.03,IFERROR(ABS(O6)&lt;=IF(B6="26µm",0.13,0.1),FALSE)),"PASS","FAIL"))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(모델R≥0.2)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IF(J7="","",IF(AND(L7="Y",K7&gt;=0.97,K7&lt;=1.03,IFERROR(ABS(O7)&lt;=IF(B7="26µm",0.13,0.1),FALSE)),"PASS","FAIL"))</f>
        <v/>
      </c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(모델R≥0.2)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IF(J8="","",IF(AND(L8="Y",K8&gt;=0.97,K8&lt;=1.03,IFERROR(ABS(O8)&lt;=IF(B8="26µm",0.13,0.1),FALSE)),"PASS","FAIL"))</f>
        <v/>
      </c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(모델R,높음)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IF(J9="","",IF(AND(L9="Y",K9&gt;=0.97,K9&lt;=1.03,IFERROR(ABS(O9)&lt;=IF(B9="26µm",0.13,0.1),FALSE)),"PASS","FAIL"))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(모델R,높음)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IF(J10="","",IF(AND(L10="Y",K10&gt;=0.97,K10&lt;=1.03,IFERROR(ABS(O10)&lt;=IF(B10="26µm",0.13,0.1),FALSE)),"PASS","FAIL"))</f>
        <v/>
      </c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(모델R,높음)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IF(J11="","",IF(AND(L11="Y",K11&gt;=0.97,K11&lt;=1.03,IFERROR(ABS(O11)&lt;=IF(B11="26µm",0.13,0.1),FALSE)),"PASS","FAIL"))</f>
        <v/>
      </c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N_target(R)</t>
        </is>
      </c>
      <c r="B5" s="2" t="inlineStr">
        <is>
          <t>Phase1 R스윕: gold 대비 |void편차| 7% 넘는 N(≈29). 26µm은 R하한→N37 고정(R0.2)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26µm은 R고정→shot수·F로만 단축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D·√p/N_target). 큰 범프일수록 R↑ / 작은 범프는 0.2에 걸림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2026-07-05T13:14:33Z</dcterms:created>
  <dcterms:modified xmlns:dcterms="http://purl.org/dc/terms/" xmlns:xsi="http://www.w3.org/2001/XMLSchema-instance" xsi:type="dcterms:W3CDTF">2026-07-05T13:27:34Z</dcterms:modified>
</cp:coreProperties>
</file>