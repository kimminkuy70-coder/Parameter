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계_설명" sheetId="1" state="visible" r:id="rId1"/>
    <sheet xmlns:r="http://schemas.openxmlformats.org/officeDocument/2006/relationships" name="Phase1_주효과_kV·R" sheetId="2" state="visible" r:id="rId2"/>
    <sheet xmlns:r="http://schemas.openxmlformats.org/officeDocument/2006/relationships" name="Phase2_재현성_F·W" sheetId="3" state="visible" r:id="rId3"/>
    <sheet xmlns:r="http://schemas.openxmlformats.org/officeDocument/2006/relationships" name="Phase3_교호작용" sheetId="4" state="visible" r:id="rId4"/>
    <sheet xmlns:r="http://schemas.openxmlformats.org/officeDocument/2006/relationships" name="Phase4_확인" sheetId="5" state="visible" r:id="rId5"/>
    <sheet xmlns:r="http://schemas.openxmlformats.org/officeDocument/2006/relationships" name="분석_역설계모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0" fontId="0" fillId="2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공정 모델링 실험 런시트 — 설계 설명 [35런 최소판]</t>
        </is>
      </c>
    </row>
    <row r="2">
      <c r="A2" s="2" t="inlineStr">
        <is>
          <t>목표: 모델 구축 시 [PD직경 D 입력] → [최적 kV·R·F·W 자동 결정] 으로 측정직경=100%·void 면적오차≤ε·검사시간 최소.</t>
        </is>
      </c>
    </row>
    <row r="4">
      <c r="A4" s="3" t="inlineStr">
        <is>
          <t>★ 반드시 구분: 두 종류의 'bump diameter'</t>
        </is>
      </c>
    </row>
    <row r="5">
      <c r="A5" s="1" t="inlineStr">
        <is>
          <t>① PD직경 D (독립변수)</t>
        </is>
      </c>
      <c r="B5" s="2" t="inlineStr">
        <is>
          <t>PD로 확인한 실제 범프 직경. 자재 고유·고정(26·158µm). N 설계·자재 구분 기준.</t>
        </is>
      </c>
    </row>
    <row r="6">
      <c r="A6" s="1" t="inlineStr">
        <is>
          <t>② 측정직경 (종속변수)</t>
        </is>
      </c>
      <c r="B6" s="2" t="inlineStr">
        <is>
          <t>X-ray 검사 결과 직경. kV 등에 따라 변함. 목표는 PD직경의 100%(Q_dia).</t>
        </is>
      </c>
    </row>
    <row r="7">
      <c r="A7" s="3" t="inlineStr">
        <is>
          <t>■ void% 기준 = 측정 bump면적 (실제 .csv 확인)</t>
        </is>
      </c>
    </row>
    <row r="8">
      <c r="A8" s="2" t="inlineStr">
        <is>
          <t>XRA_VOID.csv: 범프 Area = π/4·(측정직경)² 정확 일치 → void% = void면적÷측정면적, 8% 판정도 여기 적용. 런시트는 장비 출력 void%(M열) 그대로 입력. kV가 분모(측정면적)에도 작용해 void%에 이중효과.</t>
        </is>
      </c>
    </row>
    <row r="9"/>
    <row r="10"/>
    <row r="12">
      <c r="A12" s="3" t="inlineStr">
        <is>
          <t>■ R–N–범프크기 관계 (중요)</t>
        </is>
      </c>
    </row>
    <row r="13">
      <c r="A13" s="2" t="inlineStr">
        <is>
          <t>N = 0.283·PD직경 / R (N=void가 담기는 픽셀 수). 같은 N을 얻는 R = 0.283·D/N → 범프가 클수록 R을 높여도 됨. 'N 클수록 검출 유리'는 맞지만 N_target(~29) 넘으면 판정 오차는 이미 예산 안이라 그 이상은 시간낭비(시간∝1/R²). 따라서 최적 R = N_target을 주는 '가장 높은(거친) R'. 큰 범프일수록 이 값이 높다.</t>
        </is>
      </c>
    </row>
    <row r="14"/>
    <row r="15"/>
    <row r="16"/>
    <row r="18">
      <c r="A18" s="3" t="inlineStr">
        <is>
          <t>■ 장비 제약 R≥0.2 + 자재별 R (운영값)</t>
        </is>
      </c>
    </row>
    <row r="19">
      <c r="A19" s="2" t="inlineStr">
        <is>
          <t>· 26µm: R0.2에서 N=37이 최대(픽셀오차5.4%). R 자유도 거의 없음(0.2 고정) → 시간단축은 shot수·Frame. · 158µm: 운영 R=1.5(N30)로 높음. R스윕 최저점 gold(R0.77·N58)은 '기준 truth'용 앵커일 뿐 운영값 아님 (큰 범프는 R 높여도 N 충분). → 작은 범프일수록 R 자유도가 없다.</t>
        </is>
      </c>
    </row>
    <row r="20"/>
    <row r="21"/>
    <row r="22"/>
    <row r="24">
      <c r="A24" s="4" t="inlineStr">
        <is>
          <t>■ 설계 원리</t>
        </is>
      </c>
    </row>
    <row r="25">
      <c r="A25" s="2" t="inlineStr">
        <is>
          <t>교호작용→OFAT 불가. [주효과 스윕+의심 교호작용 2×2+같은범프 반복(σ)]. ε=10% 총예산 (2/N)²+(2σ)²≤10² → N_target≈29(26µm은 R하한 탓 N37)·σ≤3.5%. Ground truth 없어 자기참조(gold)+재현성.</t>
        </is>
      </c>
    </row>
    <row r="26"/>
    <row r="27"/>
    <row r="29">
      <c r="A29" s="3" t="inlineStr">
        <is>
          <t>■ 35런이 55런 대비 줄인 것</t>
        </is>
      </c>
    </row>
    <row r="30">
      <c r="A30" s="2" t="inlineStr">
        <is>
          <t>kV 3→2점 · F16 제외 · W 4→2점 · 교호작용 반복 제거(σ 없음)·W×F 4→3셀. 핵심 골격 유지.</t>
        </is>
      </c>
    </row>
    <row r="31"/>
    <row r="33">
      <c r="A33" s="7" t="inlineStr">
        <is>
          <t>■ 26µm 측정오차 목표: 10%→13%로 완화 (R하한 반영, 잠정)</t>
        </is>
      </c>
    </row>
    <row r="34">
      <c r="A34" s="2" t="inlineStr">
        <is>
          <t>R=0.2에서 N=37 → 픽셀화오차 2/N=5.4%가 고정(더 못 내림, R 하한). 총오차=√(5.4²+(2σ)²). 노이즈 2σ~12%(σ~6%, 보통 Frame)면 총 ≈13%. → 26µm은 ε=13%(잠정) 권장, 158µm 등은 10% 유지. 10% 고집 시 σ≤4.2% 강요→Frame·시간 낭비(검사시간 최소화와 충돌). 물리 하한 ~6%(노이즈0)라 5% 이하 불가. 게이지 '허용' 범위 내. 최종값은 Phase2 실측 σ로 √(5.4²+(2σ)²) 확정(노이즈 낮으면 10%로 재조임). 판정 수식도 26µm=±13%, 그 외=±10% 로 반영함.</t>
        </is>
      </c>
    </row>
    <row r="35"/>
    <row r="36"/>
    <row r="37"/>
    <row r="38"/>
  </sheetData>
  <mergeCells count="14">
    <mergeCell ref="A8:H10"/>
    <mergeCell ref="A4:H4"/>
    <mergeCell ref="A12:H12"/>
    <mergeCell ref="A18:H18"/>
    <mergeCell ref="A25:H27"/>
    <mergeCell ref="A7:H7"/>
    <mergeCell ref="A19:H22"/>
    <mergeCell ref="A2:H2"/>
    <mergeCell ref="A34:H38"/>
    <mergeCell ref="B6:H6"/>
    <mergeCell ref="A33:H33"/>
    <mergeCell ref="A30:H31"/>
    <mergeCell ref="B5:H5"/>
    <mergeCell ref="A13:H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5" customWidth="1" min="14" max="14"/>
    <col width="13" customWidth="1" min="15" max="15"/>
    <col width="10" customWidth="1" min="16" max="16"/>
    <col width="8" customWidth="1" min="17" max="17"/>
    <col width="26" customWidth="1" min="18" max="18"/>
  </cols>
  <sheetData>
    <row r="1">
      <c r="A1" s="1" t="inlineStr">
        <is>
          <t>Phase1_주효과_kV·R</t>
        </is>
      </c>
    </row>
    <row r="2">
      <c r="A2" s="5" t="inlineStr">
        <is>
          <t>직경 다이얼(kV)·void 픽셀화(R). gold(최정밀행)=기준 truth 앵커. 26µm gold=R0.2(N37,장비하한) / 158µm gold=R0.77(N58). 고정 F32·W4.</t>
        </is>
      </c>
    </row>
    <row r="3">
      <c r="A3" s="2" t="inlineStr">
        <is>
          <t>D(C열)=PD직경(독립·참값) / 측정직경(J열)=검사결과(종속) / void%(M열)=장비출력(측정면적) / R≥0.2 · 큰 범프일수록 R↑.</t>
        </is>
      </c>
    </row>
    <row r="5">
      <c r="A5" s="6" t="inlineStr">
        <is>
          <t>Run</t>
        </is>
      </c>
      <c r="B5" s="6" t="inlineStr">
        <is>
          <t>자재</t>
        </is>
      </c>
      <c r="C5" s="6" t="inlineStr">
        <is>
          <t>PD직경 D(µm)</t>
        </is>
      </c>
      <c r="D5" s="6" t="inlineStr">
        <is>
          <t>kV</t>
        </is>
      </c>
      <c r="E5" s="6" t="inlineStr">
        <is>
          <t>R(µm/px)</t>
        </is>
      </c>
      <c r="F5" s="6" t="inlineStr">
        <is>
          <t>N(자동)</t>
        </is>
      </c>
      <c r="G5" s="6" t="inlineStr">
        <is>
          <t>F</t>
        </is>
      </c>
      <c r="H5" s="6" t="inlineStr">
        <is>
          <t>W</t>
        </is>
      </c>
      <c r="I5" s="6" t="inlineStr">
        <is>
          <t>반복#</t>
        </is>
      </c>
      <c r="J5" s="6" t="inlineStr">
        <is>
          <t>측정직경(µm)</t>
        </is>
      </c>
      <c r="K5" s="6" t="inlineStr">
        <is>
          <t>Q_dia(자동)=측정÷PD</t>
        </is>
      </c>
      <c r="L5" s="6" t="inlineStr">
        <is>
          <t>매칭(Y/N)</t>
        </is>
      </c>
      <c r="M5" s="6" t="inlineStr">
        <is>
          <t>void%(측정,장비값)</t>
        </is>
      </c>
      <c r="N5" s="6" t="inlineStr">
        <is>
          <t>기준gold void%</t>
        </is>
      </c>
      <c r="O5" s="6" t="inlineStr">
        <is>
          <t>void편차%(자동)</t>
        </is>
      </c>
      <c r="P5" s="6" t="inlineStr">
        <is>
          <t>판정(자동)</t>
        </is>
      </c>
      <c r="Q5" s="6" t="inlineStr">
        <is>
          <t>tact(초)</t>
        </is>
      </c>
      <c r="R5" s="6" t="inlineStr">
        <is>
          <t>메모</t>
        </is>
      </c>
    </row>
    <row r="6">
      <c r="A6" t="inlineStr">
        <is>
          <t>kV1</t>
        </is>
      </c>
      <c r="B6" t="inlineStr">
        <is>
          <t>26µm</t>
        </is>
      </c>
      <c r="C6" t="n">
        <v>26</v>
      </c>
      <c r="D6" t="n">
        <v>55.5</v>
      </c>
      <c r="E6" t="n">
        <v>0.2</v>
      </c>
      <c r="F6">
        <f>IFERROR(ROUND(C6*0.2828/E6,0),"")</f>
        <v/>
      </c>
      <c r="G6" t="n">
        <v>32</v>
      </c>
      <c r="H6" t="n">
        <v>4</v>
      </c>
      <c r="I6" t="n">
        <v>1</v>
      </c>
      <c r="K6">
        <f>IFERROR(J6/C6,"")</f>
        <v/>
      </c>
      <c r="O6">
        <f>IFERROR((M6-N6)/N6,"")</f>
        <v/>
      </c>
      <c r="P6">
        <f>IF(J6="","",IF(AND(L6="Y",K6&gt;=0.97,K6&lt;=1.03,IFERROR(ABS(O6)&lt;=IF(B6="26µm",0.13,0.1),FALSE)),"PASS","FAIL"))</f>
        <v/>
      </c>
      <c r="R6" t="inlineStr">
        <is>
          <t>측정직경=PD 되는 kV* 찾기</t>
        </is>
      </c>
    </row>
    <row r="7">
      <c r="A7" t="inlineStr">
        <is>
          <t>kV2</t>
        </is>
      </c>
      <c r="B7" t="inlineStr">
        <is>
          <t>26µm</t>
        </is>
      </c>
      <c r="C7" t="n">
        <v>26</v>
      </c>
      <c r="D7" t="n">
        <v>59.5</v>
      </c>
      <c r="E7" t="n">
        <v>0.2</v>
      </c>
      <c r="F7">
        <f>IFERROR(ROUND(C7*0.2828/E7,0),"")</f>
        <v/>
      </c>
      <c r="G7" t="n">
        <v>32</v>
      </c>
      <c r="H7" t="n">
        <v>4</v>
      </c>
      <c r="I7" t="n">
        <v>1</v>
      </c>
      <c r="K7">
        <f>IFERROR(J7/C7,"")</f>
        <v/>
      </c>
      <c r="O7">
        <f>IFERROR((M7-N7)/N7,"")</f>
        <v/>
      </c>
      <c r="P7">
        <f>IF(J7="","",IF(AND(L7="Y",K7&gt;=0.97,K7&lt;=1.03,IFERROR(ABS(O7)&lt;=IF(B7="26µm",0.13,0.1),FALSE)),"PASS","FAIL"))</f>
        <v/>
      </c>
      <c r="R7" t="inlineStr">
        <is>
          <t>측정직경=PD 되는 kV* 찾기</t>
        </is>
      </c>
    </row>
    <row r="8">
      <c r="A8" t="inlineStr">
        <is>
          <t>kV3</t>
        </is>
      </c>
      <c r="B8" t="inlineStr">
        <is>
          <t>158µm</t>
        </is>
      </c>
      <c r="C8" t="n">
        <v>158</v>
      </c>
      <c r="D8" t="n">
        <v>58.5</v>
      </c>
      <c r="E8" t="n">
        <v>0.77</v>
      </c>
      <c r="F8">
        <f>IFERROR(ROUND(C8*0.2828/E8,0),"")</f>
        <v/>
      </c>
      <c r="G8" t="n">
        <v>32</v>
      </c>
      <c r="H8" t="n">
        <v>4</v>
      </c>
      <c r="I8" t="n">
        <v>1</v>
      </c>
      <c r="K8">
        <f>IFERROR(J8/C8,"")</f>
        <v/>
      </c>
      <c r="O8">
        <f>IFERROR((M8-N8)/N8,"")</f>
        <v/>
      </c>
      <c r="P8">
        <f>IF(J8="","",IF(AND(L8="Y",K8&gt;=0.97,K8&lt;=1.03,IFERROR(ABS(O8)&lt;=IF(B8="26µm",0.13,0.1),FALSE)),"PASS","FAIL"))</f>
        <v/>
      </c>
      <c r="R8" t="inlineStr">
        <is>
          <t>158µm kV* 찾기</t>
        </is>
      </c>
    </row>
    <row r="9">
      <c r="A9" t="inlineStr">
        <is>
          <t>kV4</t>
        </is>
      </c>
      <c r="B9" t="inlineStr">
        <is>
          <t>158µm</t>
        </is>
      </c>
      <c r="C9" t="n">
        <v>158</v>
      </c>
      <c r="D9" t="n">
        <v>62.5</v>
      </c>
      <c r="E9" t="n">
        <v>0.77</v>
      </c>
      <c r="F9">
        <f>IFERROR(ROUND(C9*0.2828/E9,0),"")</f>
        <v/>
      </c>
      <c r="G9" t="n">
        <v>32</v>
      </c>
      <c r="H9" t="n">
        <v>4</v>
      </c>
      <c r="I9" t="n">
        <v>1</v>
      </c>
      <c r="K9">
        <f>IFERROR(J9/C9,"")</f>
        <v/>
      </c>
      <c r="O9">
        <f>IFERROR((M9-N9)/N9,"")</f>
        <v/>
      </c>
      <c r="P9">
        <f>IF(J9="","",IF(AND(L9="Y",K9&gt;=0.97,K9&lt;=1.03,IFERROR(ABS(O9)&lt;=IF(B9="26µm",0.13,0.1),FALSE)),"PASS","FAIL"))</f>
        <v/>
      </c>
      <c r="R9" t="inlineStr">
        <is>
          <t>158µm kV* 찾기</t>
        </is>
      </c>
    </row>
    <row r="10">
      <c r="A10" t="inlineStr">
        <is>
          <t>R1</t>
        </is>
      </c>
      <c r="B10" t="inlineStr">
        <is>
          <t>26µm</t>
        </is>
      </c>
      <c r="C10" t="n">
        <v>26</v>
      </c>
      <c r="D10" t="n">
        <v>57.5</v>
      </c>
      <c r="E10" t="n">
        <v>0.2</v>
      </c>
      <c r="F10">
        <f>IFERROR(ROUND(C10*0.2828/E10,0),"")</f>
        <v/>
      </c>
      <c r="G10" t="n">
        <v>32</v>
      </c>
      <c r="H10" t="n">
        <v>4</v>
      </c>
      <c r="I10" t="n">
        <v>1</v>
      </c>
      <c r="K10">
        <f>IFERROR(J10/C10,"")</f>
        <v/>
      </c>
      <c r="O10">
        <f>IFERROR((M10-N10)/N10,"")</f>
        <v/>
      </c>
      <c r="P10">
        <f>IF(J10="","",IF(AND(L10="Y",K10&gt;=0.97,K10&lt;=1.03,IFERROR(ABS(O10)&lt;=IF(B10="26µm",0.13,0.1),FALSE)),"PASS","FAIL"))</f>
        <v/>
      </c>
      <c r="R10" t="inlineStr">
        <is>
          <t>N≈37 =gold(R하한)</t>
        </is>
      </c>
    </row>
    <row r="11">
      <c r="A11" t="inlineStr">
        <is>
          <t>R2</t>
        </is>
      </c>
      <c r="B11" t="inlineStr">
        <is>
          <t>26µm</t>
        </is>
      </c>
      <c r="C11" t="n">
        <v>26</v>
      </c>
      <c r="D11" t="n">
        <v>57.5</v>
      </c>
      <c r="E11" t="n">
        <v>0.3</v>
      </c>
      <c r="F11">
        <f>IFERROR(ROUND(C11*0.2828/E11,0),"")</f>
        <v/>
      </c>
      <c r="G11" t="n">
        <v>32</v>
      </c>
      <c r="H11" t="n">
        <v>4</v>
      </c>
      <c r="I11" t="n">
        <v>1</v>
      </c>
      <c r="K11">
        <f>IFERROR(J11/C11,"")</f>
        <v/>
      </c>
      <c r="O11">
        <f>IFERROR((M11-N11)/N11,"")</f>
        <v/>
      </c>
      <c r="P11">
        <f>IF(J11="","",IF(AND(L11="Y",K11&gt;=0.97,K11&lt;=1.03,IFERROR(ABS(O11)&lt;=IF(B11="26µm",0.13,0.1),FALSE)),"PASS","FAIL"))</f>
        <v/>
      </c>
      <c r="R11" t="inlineStr">
        <is>
          <t>N≈25</t>
        </is>
      </c>
    </row>
    <row r="12">
      <c r="A12" t="inlineStr">
        <is>
          <t>R3</t>
        </is>
      </c>
      <c r="B12" t="inlineStr">
        <is>
          <t>26µm</t>
        </is>
      </c>
      <c r="C12" t="n">
        <v>26</v>
      </c>
      <c r="D12" t="n">
        <v>57.5</v>
      </c>
      <c r="E12" t="n">
        <v>0.5</v>
      </c>
      <c r="F12">
        <f>IFERROR(ROUND(C12*0.2828/E12,0),"")</f>
        <v/>
      </c>
      <c r="G12" t="n">
        <v>32</v>
      </c>
      <c r="H12" t="n">
        <v>4</v>
      </c>
      <c r="I12" t="n">
        <v>1</v>
      </c>
      <c r="K12">
        <f>IFERROR(J12/C12,"")</f>
        <v/>
      </c>
      <c r="O12">
        <f>IFERROR((M12-N12)/N12,"")</f>
        <v/>
      </c>
      <c r="P12">
        <f>IF(J12="","",IF(AND(L12="Y",K12&gt;=0.97,K12&lt;=1.03,IFERROR(ABS(O12)&lt;=IF(B12="26µm",0.13,0.1),FALSE)),"PASS","FAIL"))</f>
        <v/>
      </c>
      <c r="R12" t="inlineStr">
        <is>
          <t>N≈15</t>
        </is>
      </c>
    </row>
    <row r="13">
      <c r="A13" t="inlineStr">
        <is>
          <t>R4</t>
        </is>
      </c>
      <c r="B13" t="inlineStr">
        <is>
          <t>158µm</t>
        </is>
      </c>
      <c r="C13" t="n">
        <v>158</v>
      </c>
      <c r="D13" t="n">
        <v>60.5</v>
      </c>
      <c r="E13" t="n">
        <v>0.77</v>
      </c>
      <c r="F13">
        <f>IFERROR(ROUND(C13*0.2828/E13,0),"")</f>
        <v/>
      </c>
      <c r="G13" t="n">
        <v>32</v>
      </c>
      <c r="H13" t="n">
        <v>4</v>
      </c>
      <c r="I13" t="n">
        <v>1</v>
      </c>
      <c r="K13">
        <f>IFERROR(J13/C13,"")</f>
        <v/>
      </c>
      <c r="O13">
        <f>IFERROR((M13-N13)/N13,"")</f>
        <v/>
      </c>
      <c r="P13">
        <f>IF(J13="","",IF(AND(L13="Y",K13&gt;=0.97,K13&lt;=1.03,IFERROR(ABS(O13)&lt;=IF(B13="26µm",0.13,0.1),FALSE)),"PASS","FAIL"))</f>
        <v/>
      </c>
      <c r="R13" t="inlineStr">
        <is>
          <t>N≈58 =gold(기준앵커)</t>
        </is>
      </c>
    </row>
    <row r="14">
      <c r="A14" t="inlineStr">
        <is>
          <t>R5</t>
        </is>
      </c>
      <c r="B14" t="inlineStr">
        <is>
          <t>158µm</t>
        </is>
      </c>
      <c r="C14" t="n">
        <v>158</v>
      </c>
      <c r="D14" t="n">
        <v>60.5</v>
      </c>
      <c r="E14" t="n">
        <v>1.5</v>
      </c>
      <c r="F14">
        <f>IFERROR(ROUND(C14*0.2828/E14,0),"")</f>
        <v/>
      </c>
      <c r="G14" t="n">
        <v>32</v>
      </c>
      <c r="H14" t="n">
        <v>4</v>
      </c>
      <c r="I14" t="n">
        <v>1</v>
      </c>
      <c r="K14">
        <f>IFERROR(J14/C14,"")</f>
        <v/>
      </c>
      <c r="O14">
        <f>IFERROR((M14-N14)/N14,"")</f>
        <v/>
      </c>
      <c r="P14">
        <f>IF(J14="","",IF(AND(L14="Y",K14&gt;=0.97,K14&lt;=1.03,IFERROR(ABS(O14)&lt;=IF(B14="26µm",0.13,0.1),FALSE)),"PASS","FAIL"))</f>
        <v/>
      </c>
      <c r="R14" t="inlineStr">
        <is>
          <t>N≈30</t>
        </is>
      </c>
    </row>
    <row r="15">
      <c r="A15" t="inlineStr">
        <is>
          <t>R6</t>
        </is>
      </c>
      <c r="B15" t="inlineStr">
        <is>
          <t>158µm</t>
        </is>
      </c>
      <c r="C15" t="n">
        <v>158</v>
      </c>
      <c r="D15" t="n">
        <v>60.5</v>
      </c>
      <c r="E15" t="n">
        <v>3</v>
      </c>
      <c r="F15">
        <f>IFERROR(ROUND(C15*0.2828/E15,0),"")</f>
        <v/>
      </c>
      <c r="G15" t="n">
        <v>32</v>
      </c>
      <c r="H15" t="n">
        <v>4</v>
      </c>
      <c r="I15" t="n">
        <v>1</v>
      </c>
      <c r="K15">
        <f>IFERROR(J15/C15,"")</f>
        <v/>
      </c>
      <c r="O15">
        <f>IFERROR((M15-N15)/N15,"")</f>
        <v/>
      </c>
      <c r="P15">
        <f>IF(J15="","",IF(AND(L15="Y",K15&gt;=0.97,K15&lt;=1.03,IFERROR(ABS(O15)&lt;=IF(B15="26µm",0.13,0.1),FALSE)),"PASS","FAIL"))</f>
        <v/>
      </c>
      <c r="R15" t="inlineStr">
        <is>
          <t>N≈15</t>
        </is>
      </c>
    </row>
  </sheetData>
  <mergeCells count="2">
    <mergeCell ref="A3:R3"/>
    <mergeCell ref="A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5" customWidth="1" min="14" max="14"/>
    <col width="13" customWidth="1" min="15" max="15"/>
    <col width="10" customWidth="1" min="16" max="16"/>
    <col width="8" customWidth="1" min="17" max="17"/>
    <col width="26" customWidth="1" min="18" max="18"/>
    <col width="14" customWidth="1" min="19" max="19"/>
  </cols>
  <sheetData>
    <row r="1">
      <c r="A1" s="1" t="inlineStr">
        <is>
          <t>Phase2_재현성_F·W</t>
        </is>
      </c>
    </row>
    <row r="2">
      <c r="A2" s="5" t="inlineStr">
        <is>
          <t>같은 범프 반복→void% σ. 26µm=F스윕(R0.2·W4), 158µm=W스윕(R1.5·F32). kV*.</t>
        </is>
      </c>
    </row>
    <row r="3">
      <c r="A3" s="2" t="inlineStr">
        <is>
          <t>D(C열)=PD직경(독립·참값) / 측정직경(J열)=검사결과(종속) / void%(M열)=장비출력(측정면적) / R≥0.2 · 큰 범프일수록 R↑.</t>
        </is>
      </c>
    </row>
    <row r="5">
      <c r="A5" s="6" t="inlineStr">
        <is>
          <t>Run</t>
        </is>
      </c>
      <c r="B5" s="6" t="inlineStr">
        <is>
          <t>자재</t>
        </is>
      </c>
      <c r="C5" s="6" t="inlineStr">
        <is>
          <t>PD직경 D(µm)</t>
        </is>
      </c>
      <c r="D5" s="6" t="inlineStr">
        <is>
          <t>kV</t>
        </is>
      </c>
      <c r="E5" s="6" t="inlineStr">
        <is>
          <t>R(µm/px)</t>
        </is>
      </c>
      <c r="F5" s="6" t="inlineStr">
        <is>
          <t>N(자동)</t>
        </is>
      </c>
      <c r="G5" s="6" t="inlineStr">
        <is>
          <t>F</t>
        </is>
      </c>
      <c r="H5" s="6" t="inlineStr">
        <is>
          <t>W</t>
        </is>
      </c>
      <c r="I5" s="6" t="inlineStr">
        <is>
          <t>반복#</t>
        </is>
      </c>
      <c r="J5" s="6" t="inlineStr">
        <is>
          <t>측정직경(µm)</t>
        </is>
      </c>
      <c r="K5" s="6" t="inlineStr">
        <is>
          <t>Q_dia(자동)=측정÷PD</t>
        </is>
      </c>
      <c r="L5" s="6" t="inlineStr">
        <is>
          <t>매칭(Y/N)</t>
        </is>
      </c>
      <c r="M5" s="6" t="inlineStr">
        <is>
          <t>void%(측정,장비값)</t>
        </is>
      </c>
      <c r="N5" s="6" t="inlineStr">
        <is>
          <t>기준gold void%</t>
        </is>
      </c>
      <c r="O5" s="6" t="inlineStr">
        <is>
          <t>void편차%(자동)</t>
        </is>
      </c>
      <c r="P5" s="6" t="inlineStr">
        <is>
          <t>판정(자동)</t>
        </is>
      </c>
      <c r="Q5" s="6" t="inlineStr">
        <is>
          <t>tact(초)</t>
        </is>
      </c>
      <c r="R5" s="6" t="inlineStr">
        <is>
          <t>메모</t>
        </is>
      </c>
      <c r="S5" s="6" t="inlineStr">
        <is>
          <t>void%σ_rel(자동)</t>
        </is>
      </c>
    </row>
    <row r="6">
      <c r="A6" t="inlineStr">
        <is>
          <t>F32</t>
        </is>
      </c>
      <c r="B6" t="inlineStr">
        <is>
          <t>26µm</t>
        </is>
      </c>
      <c r="C6" t="n">
        <v>26</v>
      </c>
      <c r="D6" t="n">
        <v>57.5</v>
      </c>
      <c r="E6" t="n">
        <v>0.2</v>
      </c>
      <c r="F6">
        <f>IFERROR(ROUND(C6*0.2828/E6,0),"")</f>
        <v/>
      </c>
      <c r="G6" t="n">
        <v>32</v>
      </c>
      <c r="H6" t="n">
        <v>4</v>
      </c>
      <c r="I6" t="n">
        <v>1</v>
      </c>
      <c r="K6">
        <f>IFERROR(J6/C6,"")</f>
        <v/>
      </c>
      <c r="O6">
        <f>IFERROR((M6-N6)/N6,"")</f>
        <v/>
      </c>
      <c r="P6">
        <f>IF(J6="","",IF(AND(L6="Y",K6&gt;=0.97,K6&lt;=1.03,IFERROR(ABS(O6)&lt;=IF(B6="26µm",0.13,0.1),FALSE)),"PASS","FAIL"))</f>
        <v/>
      </c>
      <c r="R6" t="inlineStr">
        <is>
          <t>F=32 재현성</t>
        </is>
      </c>
      <c r="S6">
        <f>IFERROR(STDEV(M6:M8)/AVERAGE(M6:M8),"")</f>
        <v/>
      </c>
    </row>
    <row r="7">
      <c r="A7" t="inlineStr">
        <is>
          <t>F32</t>
        </is>
      </c>
      <c r="B7" t="inlineStr">
        <is>
          <t>26µm</t>
        </is>
      </c>
      <c r="C7" t="n">
        <v>26</v>
      </c>
      <c r="D7" t="n">
        <v>57.5</v>
      </c>
      <c r="E7" t="n">
        <v>0.2</v>
      </c>
      <c r="F7">
        <f>IFERROR(ROUND(C7*0.2828/E7,0),"")</f>
        <v/>
      </c>
      <c r="G7" t="n">
        <v>32</v>
      </c>
      <c r="H7" t="n">
        <v>4</v>
      </c>
      <c r="I7" t="n">
        <v>2</v>
      </c>
      <c r="K7">
        <f>IFERROR(J7/C7,"")</f>
        <v/>
      </c>
      <c r="O7">
        <f>IFERROR((M7-N7)/N7,"")</f>
        <v/>
      </c>
      <c r="P7">
        <f>IF(J7="","",IF(AND(L7="Y",K7&gt;=0.97,K7&lt;=1.03,IFERROR(ABS(O7)&lt;=IF(B7="26µm",0.13,0.1),FALSE)),"PASS","FAIL"))</f>
        <v/>
      </c>
    </row>
    <row r="8">
      <c r="A8" t="inlineStr">
        <is>
          <t>F32</t>
        </is>
      </c>
      <c r="B8" t="inlineStr">
        <is>
          <t>26µm</t>
        </is>
      </c>
      <c r="C8" t="n">
        <v>26</v>
      </c>
      <c r="D8" t="n">
        <v>57.5</v>
      </c>
      <c r="E8" t="n">
        <v>0.2</v>
      </c>
      <c r="F8">
        <f>IFERROR(ROUND(C8*0.2828/E8,0),"")</f>
        <v/>
      </c>
      <c r="G8" t="n">
        <v>32</v>
      </c>
      <c r="H8" t="n">
        <v>4</v>
      </c>
      <c r="I8" t="n">
        <v>3</v>
      </c>
      <c r="K8">
        <f>IFERROR(J8/C8,"")</f>
        <v/>
      </c>
      <c r="O8">
        <f>IFERROR((M8-N8)/N8,"")</f>
        <v/>
      </c>
      <c r="P8">
        <f>IF(J8="","",IF(AND(L8="Y",K8&gt;=0.97,K8&lt;=1.03,IFERROR(ABS(O8)&lt;=IF(B8="26µm",0.13,0.1),FALSE)),"PASS","FAIL"))</f>
        <v/>
      </c>
    </row>
    <row r="9">
      <c r="A9" t="inlineStr">
        <is>
          <t>F64</t>
        </is>
      </c>
      <c r="B9" t="inlineStr">
        <is>
          <t>26µm</t>
        </is>
      </c>
      <c r="C9" t="n">
        <v>26</v>
      </c>
      <c r="D9" t="n">
        <v>57.5</v>
      </c>
      <c r="E9" t="n">
        <v>0.2</v>
      </c>
      <c r="F9">
        <f>IFERROR(ROUND(C9*0.2828/E9,0),"")</f>
        <v/>
      </c>
      <c r="G9" t="n">
        <v>64</v>
      </c>
      <c r="H9" t="n">
        <v>4</v>
      </c>
      <c r="I9" t="n">
        <v>1</v>
      </c>
      <c r="K9">
        <f>IFERROR(J9/C9,"")</f>
        <v/>
      </c>
      <c r="O9">
        <f>IFERROR((M9-N9)/N9,"")</f>
        <v/>
      </c>
      <c r="P9">
        <f>IF(J9="","",IF(AND(L9="Y",K9&gt;=0.97,K9&lt;=1.03,IFERROR(ABS(O9)&lt;=IF(B9="26µm",0.13,0.1),FALSE)),"PASS","FAIL"))</f>
        <v/>
      </c>
      <c r="R9" t="inlineStr">
        <is>
          <t>F=64 재현성</t>
        </is>
      </c>
      <c r="S9">
        <f>IFERROR(STDEV(M9:M11)/AVERAGE(M9:M11),"")</f>
        <v/>
      </c>
    </row>
    <row r="10">
      <c r="A10" t="inlineStr">
        <is>
          <t>F64</t>
        </is>
      </c>
      <c r="B10" t="inlineStr">
        <is>
          <t>26µm</t>
        </is>
      </c>
      <c r="C10" t="n">
        <v>26</v>
      </c>
      <c r="D10" t="n">
        <v>57.5</v>
      </c>
      <c r="E10" t="n">
        <v>0.2</v>
      </c>
      <c r="F10">
        <f>IFERROR(ROUND(C10*0.2828/E10,0),"")</f>
        <v/>
      </c>
      <c r="G10" t="n">
        <v>64</v>
      </c>
      <c r="H10" t="n">
        <v>4</v>
      </c>
      <c r="I10" t="n">
        <v>2</v>
      </c>
      <c r="K10">
        <f>IFERROR(J10/C10,"")</f>
        <v/>
      </c>
      <c r="O10">
        <f>IFERROR((M10-N10)/N10,"")</f>
        <v/>
      </c>
      <c r="P10">
        <f>IF(J10="","",IF(AND(L10="Y",K10&gt;=0.97,K10&lt;=1.03,IFERROR(ABS(O10)&lt;=IF(B10="26µm",0.13,0.1),FALSE)),"PASS","FAIL"))</f>
        <v/>
      </c>
    </row>
    <row r="11">
      <c r="A11" t="inlineStr">
        <is>
          <t>F64</t>
        </is>
      </c>
      <c r="B11" t="inlineStr">
        <is>
          <t>26µm</t>
        </is>
      </c>
      <c r="C11" t="n">
        <v>26</v>
      </c>
      <c r="D11" t="n">
        <v>57.5</v>
      </c>
      <c r="E11" t="n">
        <v>0.2</v>
      </c>
      <c r="F11">
        <f>IFERROR(ROUND(C11*0.2828/E11,0),"")</f>
        <v/>
      </c>
      <c r="G11" t="n">
        <v>64</v>
      </c>
      <c r="H11" t="n">
        <v>4</v>
      </c>
      <c r="I11" t="n">
        <v>3</v>
      </c>
      <c r="K11">
        <f>IFERROR(J11/C11,"")</f>
        <v/>
      </c>
      <c r="O11">
        <f>IFERROR((M11-N11)/N11,"")</f>
        <v/>
      </c>
      <c r="P11">
        <f>IF(J11="","",IF(AND(L11="Y",K11&gt;=0.97,K11&lt;=1.03,IFERROR(ABS(O11)&lt;=IF(B11="26µm",0.13,0.1),FALSE)),"PASS","FAIL"))</f>
        <v/>
      </c>
    </row>
    <row r="12">
      <c r="A12" t="inlineStr">
        <is>
          <t>W4</t>
        </is>
      </c>
      <c r="B12" t="inlineStr">
        <is>
          <t>158µm</t>
        </is>
      </c>
      <c r="C12" t="n">
        <v>158</v>
      </c>
      <c r="D12" t="n">
        <v>60.5</v>
      </c>
      <c r="E12" t="n">
        <v>1.5</v>
      </c>
      <c r="F12">
        <f>IFERROR(ROUND(C12*0.2828/E12,0),"")</f>
        <v/>
      </c>
      <c r="G12" t="n">
        <v>32</v>
      </c>
      <c r="H12" t="n">
        <v>4</v>
      </c>
      <c r="I12" t="n">
        <v>1</v>
      </c>
      <c r="K12">
        <f>IFERROR(J12/C12,"")</f>
        <v/>
      </c>
      <c r="O12">
        <f>IFERROR((M12-N12)/N12,"")</f>
        <v/>
      </c>
      <c r="P12">
        <f>IF(J12="","",IF(AND(L12="Y",K12&gt;=0.97,K12&lt;=1.03,IFERROR(ABS(O12)&lt;=IF(B12="26µm",0.13,0.1),FALSE)),"PASS","FAIL"))</f>
        <v/>
      </c>
      <c r="R12" t="inlineStr">
        <is>
          <t>W=4 재현성·깜빡임</t>
        </is>
      </c>
      <c r="S12">
        <f>IFERROR(STDEV(M12:M14)/AVERAGE(M12:M14),"")</f>
        <v/>
      </c>
    </row>
    <row r="13">
      <c r="A13" t="inlineStr">
        <is>
          <t>W4</t>
        </is>
      </c>
      <c r="B13" t="inlineStr">
        <is>
          <t>158µm</t>
        </is>
      </c>
      <c r="C13" t="n">
        <v>158</v>
      </c>
      <c r="D13" t="n">
        <v>60.5</v>
      </c>
      <c r="E13" t="n">
        <v>1.5</v>
      </c>
      <c r="F13">
        <f>IFERROR(ROUND(C13*0.2828/E13,0),"")</f>
        <v/>
      </c>
      <c r="G13" t="n">
        <v>32</v>
      </c>
      <c r="H13" t="n">
        <v>4</v>
      </c>
      <c r="I13" t="n">
        <v>2</v>
      </c>
      <c r="K13">
        <f>IFERROR(J13/C13,"")</f>
        <v/>
      </c>
      <c r="O13">
        <f>IFERROR((M13-N13)/N13,"")</f>
        <v/>
      </c>
      <c r="P13">
        <f>IF(J13="","",IF(AND(L13="Y",K13&gt;=0.97,K13&lt;=1.03,IFERROR(ABS(O13)&lt;=IF(B13="26µm",0.13,0.1),FALSE)),"PASS","FAIL"))</f>
        <v/>
      </c>
    </row>
    <row r="14">
      <c r="A14" t="inlineStr">
        <is>
          <t>W4</t>
        </is>
      </c>
      <c r="B14" t="inlineStr">
        <is>
          <t>158µm</t>
        </is>
      </c>
      <c r="C14" t="n">
        <v>158</v>
      </c>
      <c r="D14" t="n">
        <v>60.5</v>
      </c>
      <c r="E14" t="n">
        <v>1.5</v>
      </c>
      <c r="F14">
        <f>IFERROR(ROUND(C14*0.2828/E14,0),"")</f>
        <v/>
      </c>
      <c r="G14" t="n">
        <v>32</v>
      </c>
      <c r="H14" t="n">
        <v>4</v>
      </c>
      <c r="I14" t="n">
        <v>3</v>
      </c>
      <c r="K14">
        <f>IFERROR(J14/C14,"")</f>
        <v/>
      </c>
      <c r="O14">
        <f>IFERROR((M14-N14)/N14,"")</f>
        <v/>
      </c>
      <c r="P14">
        <f>IF(J14="","",IF(AND(L14="Y",K14&gt;=0.97,K14&lt;=1.03,IFERROR(ABS(O14)&lt;=IF(B14="26µm",0.13,0.1),FALSE)),"PASS","FAIL"))</f>
        <v/>
      </c>
    </row>
    <row r="15">
      <c r="A15" t="inlineStr">
        <is>
          <t>W6</t>
        </is>
      </c>
      <c r="B15" t="inlineStr">
        <is>
          <t>158µm</t>
        </is>
      </c>
      <c r="C15" t="n">
        <v>158</v>
      </c>
      <c r="D15" t="n">
        <v>60.5</v>
      </c>
      <c r="E15" t="n">
        <v>1.5</v>
      </c>
      <c r="F15">
        <f>IFERROR(ROUND(C15*0.2828/E15,0),"")</f>
        <v/>
      </c>
      <c r="G15" t="n">
        <v>32</v>
      </c>
      <c r="H15" t="n">
        <v>6</v>
      </c>
      <c r="I15" t="n">
        <v>1</v>
      </c>
      <c r="K15">
        <f>IFERROR(J15/C15,"")</f>
        <v/>
      </c>
      <c r="O15">
        <f>IFERROR((M15-N15)/N15,"")</f>
        <v/>
      </c>
      <c r="P15">
        <f>IF(J15="","",IF(AND(L15="Y",K15&gt;=0.97,K15&lt;=1.03,IFERROR(ABS(O15)&lt;=IF(B15="26µm",0.13,0.1),FALSE)),"PASS","FAIL"))</f>
        <v/>
      </c>
      <c r="R15" t="inlineStr">
        <is>
          <t>W=6 재현성·깜빡임</t>
        </is>
      </c>
      <c r="S15">
        <f>IFERROR(STDEV(M15:M17)/AVERAGE(M15:M17),"")</f>
        <v/>
      </c>
    </row>
    <row r="16">
      <c r="A16" t="inlineStr">
        <is>
          <t>W6</t>
        </is>
      </c>
      <c r="B16" t="inlineStr">
        <is>
          <t>158µm</t>
        </is>
      </c>
      <c r="C16" t="n">
        <v>158</v>
      </c>
      <c r="D16" t="n">
        <v>60.5</v>
      </c>
      <c r="E16" t="n">
        <v>1.5</v>
      </c>
      <c r="F16">
        <f>IFERROR(ROUND(C16*0.2828/E16,0),"")</f>
        <v/>
      </c>
      <c r="G16" t="n">
        <v>32</v>
      </c>
      <c r="H16" t="n">
        <v>6</v>
      </c>
      <c r="I16" t="n">
        <v>2</v>
      </c>
      <c r="K16">
        <f>IFERROR(J16/C16,"")</f>
        <v/>
      </c>
      <c r="O16">
        <f>IFERROR((M16-N16)/N16,"")</f>
        <v/>
      </c>
      <c r="P16">
        <f>IF(J16="","",IF(AND(L16="Y",K16&gt;=0.97,K16&lt;=1.03,IFERROR(ABS(O16)&lt;=IF(B16="26µm",0.13,0.1),FALSE)),"PASS","FAIL"))</f>
        <v/>
      </c>
    </row>
    <row r="17">
      <c r="A17" t="inlineStr">
        <is>
          <t>W6</t>
        </is>
      </c>
      <c r="B17" t="inlineStr">
        <is>
          <t>158µm</t>
        </is>
      </c>
      <c r="C17" t="n">
        <v>158</v>
      </c>
      <c r="D17" t="n">
        <v>60.5</v>
      </c>
      <c r="E17" t="n">
        <v>1.5</v>
      </c>
      <c r="F17">
        <f>IFERROR(ROUND(C17*0.2828/E17,0),"")</f>
        <v/>
      </c>
      <c r="G17" t="n">
        <v>32</v>
      </c>
      <c r="H17" t="n">
        <v>6</v>
      </c>
      <c r="I17" t="n">
        <v>3</v>
      </c>
      <c r="K17">
        <f>IFERROR(J17/C17,"")</f>
        <v/>
      </c>
      <c r="O17">
        <f>IFERROR((M17-N17)/N17,"")</f>
        <v/>
      </c>
      <c r="P17">
        <f>IF(J17="","",IF(AND(L17="Y",K17&gt;=0.97,K17&lt;=1.03,IFERROR(ABS(O17)&lt;=IF(B17="26µm",0.13,0.1),FALSE)),"PASS","FAIL"))</f>
        <v/>
      </c>
    </row>
  </sheetData>
  <mergeCells count="2">
    <mergeCell ref="A3:R3"/>
    <mergeCell ref="A2:R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5" customWidth="1" min="14" max="14"/>
    <col width="13" customWidth="1" min="15" max="15"/>
    <col width="10" customWidth="1" min="16" max="16"/>
    <col width="8" customWidth="1" min="17" max="17"/>
    <col width="26" customWidth="1" min="18" max="18"/>
  </cols>
  <sheetData>
    <row r="1">
      <c r="A1" s="1" t="inlineStr">
        <is>
          <t>Phase3_교호작용</t>
        </is>
      </c>
    </row>
    <row r="2">
      <c r="A2" s="5" t="inlineStr">
        <is>
          <t>kV×R(26µm): 대비bias×픽셀화 / W×F(158µm): SNR∝√(W·F) 교환. ×D는 두 자재.</t>
        </is>
      </c>
    </row>
    <row r="3">
      <c r="A3" s="2" t="inlineStr">
        <is>
          <t>D(C열)=PD직경(독립·참값) / 측정직경(J열)=검사결과(종속) / void%(M열)=장비출력(측정면적) / R≥0.2 · 큰 범프일수록 R↑.</t>
        </is>
      </c>
    </row>
    <row r="5">
      <c r="A5" s="6" t="inlineStr">
        <is>
          <t>Run</t>
        </is>
      </c>
      <c r="B5" s="6" t="inlineStr">
        <is>
          <t>자재</t>
        </is>
      </c>
      <c r="C5" s="6" t="inlineStr">
        <is>
          <t>PD직경 D(µm)</t>
        </is>
      </c>
      <c r="D5" s="6" t="inlineStr">
        <is>
          <t>kV</t>
        </is>
      </c>
      <c r="E5" s="6" t="inlineStr">
        <is>
          <t>R(µm/px)</t>
        </is>
      </c>
      <c r="F5" s="6" t="inlineStr">
        <is>
          <t>N(자동)</t>
        </is>
      </c>
      <c r="G5" s="6" t="inlineStr">
        <is>
          <t>F</t>
        </is>
      </c>
      <c r="H5" s="6" t="inlineStr">
        <is>
          <t>W</t>
        </is>
      </c>
      <c r="I5" s="6" t="inlineStr">
        <is>
          <t>반복#</t>
        </is>
      </c>
      <c r="J5" s="6" t="inlineStr">
        <is>
          <t>측정직경(µm)</t>
        </is>
      </c>
      <c r="K5" s="6" t="inlineStr">
        <is>
          <t>Q_dia(자동)=측정÷PD</t>
        </is>
      </c>
      <c r="L5" s="6" t="inlineStr">
        <is>
          <t>매칭(Y/N)</t>
        </is>
      </c>
      <c r="M5" s="6" t="inlineStr">
        <is>
          <t>void%(측정,장비값)</t>
        </is>
      </c>
      <c r="N5" s="6" t="inlineStr">
        <is>
          <t>기준gold void%</t>
        </is>
      </c>
      <c r="O5" s="6" t="inlineStr">
        <is>
          <t>void편차%(자동)</t>
        </is>
      </c>
      <c r="P5" s="6" t="inlineStr">
        <is>
          <t>판정(자동)</t>
        </is>
      </c>
      <c r="Q5" s="6" t="inlineStr">
        <is>
          <t>tact(초)</t>
        </is>
      </c>
      <c r="R5" s="6" t="inlineStr">
        <is>
          <t>메모</t>
        </is>
      </c>
    </row>
    <row r="6">
      <c r="A6" t="inlineStr">
        <is>
          <t>KR</t>
        </is>
      </c>
      <c r="B6" t="inlineStr">
        <is>
          <t>26µm</t>
        </is>
      </c>
      <c r="C6" t="n">
        <v>26</v>
      </c>
      <c r="D6" t="n">
        <v>55.5</v>
      </c>
      <c r="E6" t="n">
        <v>0.2</v>
      </c>
      <c r="F6">
        <f>IFERROR(ROUND(C6*0.2828/E6,0),"")</f>
        <v/>
      </c>
      <c r="G6" t="n">
        <v>32</v>
      </c>
      <c r="H6" t="n">
        <v>4</v>
      </c>
      <c r="I6" t="n">
        <v>1</v>
      </c>
      <c r="K6">
        <f>IFERROR(J6/C6,"")</f>
        <v/>
      </c>
      <c r="O6">
        <f>IFERROR((M6-N6)/N6,"")</f>
        <v/>
      </c>
      <c r="P6">
        <f>IF(J6="","",IF(AND(L6="Y",K6&gt;=0.97,K6&lt;=1.03,IFERROR(ABS(O6)&lt;=IF(B6="26µm",0.13,0.1),FALSE)),"PASS","FAIL"))</f>
        <v/>
      </c>
      <c r="R6" t="inlineStr">
        <is>
          <t>kV55.5×R0.2(N37)</t>
        </is>
      </c>
    </row>
    <row r="7">
      <c r="A7" t="inlineStr">
        <is>
          <t>KR</t>
        </is>
      </c>
      <c r="B7" t="inlineStr">
        <is>
          <t>26µm</t>
        </is>
      </c>
      <c r="C7" t="n">
        <v>26</v>
      </c>
      <c r="D7" t="n">
        <v>55.5</v>
      </c>
      <c r="E7" t="n">
        <v>0.5</v>
      </c>
      <c r="F7">
        <f>IFERROR(ROUND(C7*0.2828/E7,0),"")</f>
        <v/>
      </c>
      <c r="G7" t="n">
        <v>32</v>
      </c>
      <c r="H7" t="n">
        <v>4</v>
      </c>
      <c r="I7" t="n">
        <v>1</v>
      </c>
      <c r="K7">
        <f>IFERROR(J7/C7,"")</f>
        <v/>
      </c>
      <c r="O7">
        <f>IFERROR((M7-N7)/N7,"")</f>
        <v/>
      </c>
      <c r="P7">
        <f>IF(J7="","",IF(AND(L7="Y",K7&gt;=0.97,K7&lt;=1.03,IFERROR(ABS(O7)&lt;=IF(B7="26µm",0.13,0.1),FALSE)),"PASS","FAIL"))</f>
        <v/>
      </c>
      <c r="R7" t="inlineStr">
        <is>
          <t>kV55.5×R0.5(N15)</t>
        </is>
      </c>
    </row>
    <row r="8">
      <c r="A8" t="inlineStr">
        <is>
          <t>KR</t>
        </is>
      </c>
      <c r="B8" t="inlineStr">
        <is>
          <t>26µm</t>
        </is>
      </c>
      <c r="C8" t="n">
        <v>26</v>
      </c>
      <c r="D8" t="n">
        <v>59.5</v>
      </c>
      <c r="E8" t="n">
        <v>0.2</v>
      </c>
      <c r="F8">
        <f>IFERROR(ROUND(C8*0.2828/E8,0),"")</f>
        <v/>
      </c>
      <c r="G8" t="n">
        <v>32</v>
      </c>
      <c r="H8" t="n">
        <v>4</v>
      </c>
      <c r="I8" t="n">
        <v>1</v>
      </c>
      <c r="K8">
        <f>IFERROR(J8/C8,"")</f>
        <v/>
      </c>
      <c r="O8">
        <f>IFERROR((M8-N8)/N8,"")</f>
        <v/>
      </c>
      <c r="P8">
        <f>IF(J8="","",IF(AND(L8="Y",K8&gt;=0.97,K8&lt;=1.03,IFERROR(ABS(O8)&lt;=IF(B8="26µm",0.13,0.1),FALSE)),"PASS","FAIL"))</f>
        <v/>
      </c>
      <c r="R8" t="inlineStr">
        <is>
          <t>kV59.5×R0.2(N37)</t>
        </is>
      </c>
    </row>
    <row r="9">
      <c r="A9" t="inlineStr">
        <is>
          <t>KR</t>
        </is>
      </c>
      <c r="B9" t="inlineStr">
        <is>
          <t>26µm</t>
        </is>
      </c>
      <c r="C9" t="n">
        <v>26</v>
      </c>
      <c r="D9" t="n">
        <v>59.5</v>
      </c>
      <c r="E9" t="n">
        <v>0.5</v>
      </c>
      <c r="F9">
        <f>IFERROR(ROUND(C9*0.2828/E9,0),"")</f>
        <v/>
      </c>
      <c r="G9" t="n">
        <v>32</v>
      </c>
      <c r="H9" t="n">
        <v>4</v>
      </c>
      <c r="I9" t="n">
        <v>1</v>
      </c>
      <c r="K9">
        <f>IFERROR(J9/C9,"")</f>
        <v/>
      </c>
      <c r="O9">
        <f>IFERROR((M9-N9)/N9,"")</f>
        <v/>
      </c>
      <c r="P9">
        <f>IF(J9="","",IF(AND(L9="Y",K9&gt;=0.97,K9&lt;=1.03,IFERROR(ABS(O9)&lt;=IF(B9="26µm",0.13,0.1),FALSE)),"PASS","FAIL"))</f>
        <v/>
      </c>
      <c r="R9" t="inlineStr">
        <is>
          <t>kV59.5×R0.5(N15)</t>
        </is>
      </c>
    </row>
    <row r="10">
      <c r="A10" t="inlineStr">
        <is>
          <t>WF</t>
        </is>
      </c>
      <c r="B10" t="inlineStr">
        <is>
          <t>158µm</t>
        </is>
      </c>
      <c r="C10" t="n">
        <v>158</v>
      </c>
      <c r="D10" t="n">
        <v>60.5</v>
      </c>
      <c r="E10" t="n">
        <v>1.5</v>
      </c>
      <c r="F10">
        <f>IFERROR(ROUND(C10*0.2828/E10,0),"")</f>
        <v/>
      </c>
      <c r="G10" t="n">
        <v>32</v>
      </c>
      <c r="H10" t="n">
        <v>4</v>
      </c>
      <c r="I10" t="n">
        <v>1</v>
      </c>
      <c r="K10">
        <f>IFERROR(J10/C10,"")</f>
        <v/>
      </c>
      <c r="O10">
        <f>IFERROR((M10-N10)/N10,"")</f>
        <v/>
      </c>
      <c r="P10">
        <f>IF(J10="","",IF(AND(L10="Y",K10&gt;=0.97,K10&lt;=1.03,IFERROR(ABS(O10)&lt;=IF(B10="26µm",0.13,0.1),FALSE)),"PASS","FAIL"))</f>
        <v/>
      </c>
      <c r="R10" t="inlineStr">
        <is>
          <t>W4×F32(기준)</t>
        </is>
      </c>
    </row>
    <row r="11">
      <c r="A11" t="inlineStr">
        <is>
          <t>WF</t>
        </is>
      </c>
      <c r="B11" t="inlineStr">
        <is>
          <t>158µm</t>
        </is>
      </c>
      <c r="C11" t="n">
        <v>158</v>
      </c>
      <c r="D11" t="n">
        <v>60.5</v>
      </c>
      <c r="E11" t="n">
        <v>1.5</v>
      </c>
      <c r="F11">
        <f>IFERROR(ROUND(C11*0.2828/E11,0),"")</f>
        <v/>
      </c>
      <c r="G11" t="n">
        <v>32</v>
      </c>
      <c r="H11" t="n">
        <v>6</v>
      </c>
      <c r="I11" t="n">
        <v>1</v>
      </c>
      <c r="K11">
        <f>IFERROR(J11/C11,"")</f>
        <v/>
      </c>
      <c r="O11">
        <f>IFERROR((M11-N11)/N11,"")</f>
        <v/>
      </c>
      <c r="P11">
        <f>IF(J11="","",IF(AND(L11="Y",K11&gt;=0.97,K11&lt;=1.03,IFERROR(ABS(O11)&lt;=IF(B11="26µm",0.13,0.1),FALSE)),"PASS","FAIL"))</f>
        <v/>
      </c>
      <c r="R11" t="inlineStr">
        <is>
          <t>W6×F32(W효과)</t>
        </is>
      </c>
    </row>
    <row r="12">
      <c r="A12" t="inlineStr">
        <is>
          <t>WF</t>
        </is>
      </c>
      <c r="B12" t="inlineStr">
        <is>
          <t>158µm</t>
        </is>
      </c>
      <c r="C12" t="n">
        <v>158</v>
      </c>
      <c r="D12" t="n">
        <v>60.5</v>
      </c>
      <c r="E12" t="n">
        <v>1.5</v>
      </c>
      <c r="F12">
        <f>IFERROR(ROUND(C12*0.2828/E12,0),"")</f>
        <v/>
      </c>
      <c r="G12" t="n">
        <v>16</v>
      </c>
      <c r="H12" t="n">
        <v>6</v>
      </c>
      <c r="I12" t="n">
        <v>1</v>
      </c>
      <c r="K12">
        <f>IFERROR(J12/C12,"")</f>
        <v/>
      </c>
      <c r="O12">
        <f>IFERROR((M12-N12)/N12,"")</f>
        <v/>
      </c>
      <c r="P12">
        <f>IF(J12="","",IF(AND(L12="Y",K12&gt;=0.97,K12&lt;=1.03,IFERROR(ABS(O12)&lt;=IF(B12="26µm",0.13,0.1),FALSE)),"PASS","FAIL"))</f>
        <v/>
      </c>
      <c r="R12" t="inlineStr">
        <is>
          <t>W6×F16(F교환)</t>
        </is>
      </c>
    </row>
  </sheetData>
  <mergeCells count="2">
    <mergeCell ref="A3:R3"/>
    <mergeCell ref="A2:R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5" customWidth="1" min="14" max="14"/>
    <col width="13" customWidth="1" min="15" max="15"/>
    <col width="10" customWidth="1" min="16" max="16"/>
    <col width="8" customWidth="1" min="17" max="17"/>
    <col width="26" customWidth="1" min="18" max="18"/>
    <col width="14" customWidth="1" min="19" max="19"/>
  </cols>
  <sheetData>
    <row r="1">
      <c r="A1" s="1" t="inlineStr">
        <is>
          <t>Phase4_확인</t>
        </is>
      </c>
    </row>
    <row r="2">
      <c r="A2" s="5" t="inlineStr">
        <is>
          <t>모델 산출 (kV,R,F,W)로 자재별 ×3반복. 합격: 매칭Y &amp; Q_dia97~103% &amp; |void편차|≤10% &amp; σ≤3.5% &amp; tact 최소.</t>
        </is>
      </c>
    </row>
    <row r="3">
      <c r="A3" s="2" t="inlineStr">
        <is>
          <t>D(C열)=PD직경(독립·참값) / 측정직경(J열)=검사결과(종속) / void%(M열)=장비출력(측정면적) / R≥0.2 · 큰 범프일수록 R↑.</t>
        </is>
      </c>
    </row>
    <row r="5">
      <c r="A5" s="6" t="inlineStr">
        <is>
          <t>Run</t>
        </is>
      </c>
      <c r="B5" s="6" t="inlineStr">
        <is>
          <t>자재</t>
        </is>
      </c>
      <c r="C5" s="6" t="inlineStr">
        <is>
          <t>PD직경 D(µm)</t>
        </is>
      </c>
      <c r="D5" s="6" t="inlineStr">
        <is>
          <t>kV</t>
        </is>
      </c>
      <c r="E5" s="6" t="inlineStr">
        <is>
          <t>R(µm/px)</t>
        </is>
      </c>
      <c r="F5" s="6" t="inlineStr">
        <is>
          <t>N(자동)</t>
        </is>
      </c>
      <c r="G5" s="6" t="inlineStr">
        <is>
          <t>F</t>
        </is>
      </c>
      <c r="H5" s="6" t="inlineStr">
        <is>
          <t>W</t>
        </is>
      </c>
      <c r="I5" s="6" t="inlineStr">
        <is>
          <t>반복#</t>
        </is>
      </c>
      <c r="J5" s="6" t="inlineStr">
        <is>
          <t>측정직경(µm)</t>
        </is>
      </c>
      <c r="K5" s="6" t="inlineStr">
        <is>
          <t>Q_dia(자동)=측정÷PD</t>
        </is>
      </c>
      <c r="L5" s="6" t="inlineStr">
        <is>
          <t>매칭(Y/N)</t>
        </is>
      </c>
      <c r="M5" s="6" t="inlineStr">
        <is>
          <t>void%(측정,장비값)</t>
        </is>
      </c>
      <c r="N5" s="6" t="inlineStr">
        <is>
          <t>기준gold void%</t>
        </is>
      </c>
      <c r="O5" s="6" t="inlineStr">
        <is>
          <t>void편차%(자동)</t>
        </is>
      </c>
      <c r="P5" s="6" t="inlineStr">
        <is>
          <t>판정(자동)</t>
        </is>
      </c>
      <c r="Q5" s="6" t="inlineStr">
        <is>
          <t>tact(초)</t>
        </is>
      </c>
      <c r="R5" s="6" t="inlineStr">
        <is>
          <t>메모</t>
        </is>
      </c>
      <c r="S5" s="6" t="inlineStr">
        <is>
          <t>void%σ_rel(자동)</t>
        </is>
      </c>
    </row>
    <row r="6">
      <c r="A6" t="inlineStr">
        <is>
          <t>C-26</t>
        </is>
      </c>
      <c r="B6" t="inlineStr">
        <is>
          <t>26µm</t>
        </is>
      </c>
      <c r="C6" t="n">
        <v>26</v>
      </c>
      <c r="D6" t="inlineStr">
        <is>
          <t>(모델kV*)</t>
        </is>
      </c>
      <c r="E6" t="inlineStr">
        <is>
          <t>(모델R≥0.2)</t>
        </is>
      </c>
      <c r="F6">
        <f>IFERROR(ROUND(C6*0.2828/E6,0),"")</f>
        <v/>
      </c>
      <c r="G6" t="n">
        <v>32</v>
      </c>
      <c r="H6" t="inlineStr">
        <is>
          <t>(모델W)</t>
        </is>
      </c>
      <c r="I6" t="n">
        <v>1</v>
      </c>
      <c r="K6">
        <f>IFERROR(J6/C6,"")</f>
        <v/>
      </c>
      <c r="O6">
        <f>IFERROR((M6-N6)/N6,"")</f>
        <v/>
      </c>
      <c r="P6">
        <f>IF(J6="","",IF(AND(L6="Y",K6&gt;=0.97,K6&lt;=1.03,IFERROR(ABS(O6)&lt;=IF(B6="26µm",0.13,0.1),FALSE)),"PASS","FAIL"))</f>
        <v/>
      </c>
      <c r="R6" t="inlineStr">
        <is>
          <t>모델 산출값 검증</t>
        </is>
      </c>
      <c r="S6">
        <f>IFERROR(STDEV(M6:M8)/AVERAGE(M6:M8),"")</f>
        <v/>
      </c>
    </row>
    <row r="7">
      <c r="A7" t="inlineStr">
        <is>
          <t>C-26</t>
        </is>
      </c>
      <c r="B7" t="inlineStr">
        <is>
          <t>26µm</t>
        </is>
      </c>
      <c r="C7" t="n">
        <v>26</v>
      </c>
      <c r="D7" t="inlineStr">
        <is>
          <t>(모델kV*)</t>
        </is>
      </c>
      <c r="E7" t="inlineStr">
        <is>
          <t>(모델R≥0.2)</t>
        </is>
      </c>
      <c r="F7">
        <f>IFERROR(ROUND(C7*0.2828/E7,0),"")</f>
        <v/>
      </c>
      <c r="G7" t="n">
        <v>32</v>
      </c>
      <c r="H7" t="inlineStr">
        <is>
          <t>(모델W)</t>
        </is>
      </c>
      <c r="I7" t="n">
        <v>2</v>
      </c>
      <c r="K7">
        <f>IFERROR(J7/C7,"")</f>
        <v/>
      </c>
      <c r="O7">
        <f>IFERROR((M7-N7)/N7,"")</f>
        <v/>
      </c>
      <c r="P7">
        <f>IF(J7="","",IF(AND(L7="Y",K7&gt;=0.97,K7&lt;=1.03,IFERROR(ABS(O7)&lt;=IF(B7="26µm",0.13,0.1),FALSE)),"PASS","FAIL"))</f>
        <v/>
      </c>
    </row>
    <row r="8">
      <c r="A8" t="inlineStr">
        <is>
          <t>C-26</t>
        </is>
      </c>
      <c r="B8" t="inlineStr">
        <is>
          <t>26µm</t>
        </is>
      </c>
      <c r="C8" t="n">
        <v>26</v>
      </c>
      <c r="D8" t="inlineStr">
        <is>
          <t>(모델kV*)</t>
        </is>
      </c>
      <c r="E8" t="inlineStr">
        <is>
          <t>(모델R≥0.2)</t>
        </is>
      </c>
      <c r="F8">
        <f>IFERROR(ROUND(C8*0.2828/E8,0),"")</f>
        <v/>
      </c>
      <c r="G8" t="n">
        <v>32</v>
      </c>
      <c r="H8" t="inlineStr">
        <is>
          <t>(모델W)</t>
        </is>
      </c>
      <c r="I8" t="n">
        <v>3</v>
      </c>
      <c r="K8">
        <f>IFERROR(J8/C8,"")</f>
        <v/>
      </c>
      <c r="O8">
        <f>IFERROR((M8-N8)/N8,"")</f>
        <v/>
      </c>
      <c r="P8">
        <f>IF(J8="","",IF(AND(L8="Y",K8&gt;=0.97,K8&lt;=1.03,IFERROR(ABS(O8)&lt;=IF(B8="26µm",0.13,0.1),FALSE)),"PASS","FAIL"))</f>
        <v/>
      </c>
    </row>
    <row r="9">
      <c r="A9" t="inlineStr">
        <is>
          <t>C-158</t>
        </is>
      </c>
      <c r="B9" t="inlineStr">
        <is>
          <t>158µm</t>
        </is>
      </c>
      <c r="C9" t="n">
        <v>158</v>
      </c>
      <c r="D9" t="inlineStr">
        <is>
          <t>(모델kV*)</t>
        </is>
      </c>
      <c r="E9" t="inlineStr">
        <is>
          <t>(모델R,높음)</t>
        </is>
      </c>
      <c r="F9">
        <f>IFERROR(ROUND(C9*0.2828/E9,0),"")</f>
        <v/>
      </c>
      <c r="G9" t="n">
        <v>32</v>
      </c>
      <c r="H9" t="inlineStr">
        <is>
          <t>(모델W)</t>
        </is>
      </c>
      <c r="I9" t="n">
        <v>1</v>
      </c>
      <c r="K9">
        <f>IFERROR(J9/C9,"")</f>
        <v/>
      </c>
      <c r="O9">
        <f>IFERROR((M9-N9)/N9,"")</f>
        <v/>
      </c>
      <c r="P9">
        <f>IF(J9="","",IF(AND(L9="Y",K9&gt;=0.97,K9&lt;=1.03,IFERROR(ABS(O9)&lt;=IF(B9="26µm",0.13,0.1),FALSE)),"PASS","FAIL"))</f>
        <v/>
      </c>
      <c r="R9" t="inlineStr">
        <is>
          <t>모델 산출값 검증</t>
        </is>
      </c>
      <c r="S9">
        <f>IFERROR(STDEV(M9:M11)/AVERAGE(M9:M11),"")</f>
        <v/>
      </c>
    </row>
    <row r="10">
      <c r="A10" t="inlineStr">
        <is>
          <t>C-158</t>
        </is>
      </c>
      <c r="B10" t="inlineStr">
        <is>
          <t>158µm</t>
        </is>
      </c>
      <c r="C10" t="n">
        <v>158</v>
      </c>
      <c r="D10" t="inlineStr">
        <is>
          <t>(모델kV*)</t>
        </is>
      </c>
      <c r="E10" t="inlineStr">
        <is>
          <t>(모델R,높음)</t>
        </is>
      </c>
      <c r="F10">
        <f>IFERROR(ROUND(C10*0.2828/E10,0),"")</f>
        <v/>
      </c>
      <c r="G10" t="n">
        <v>32</v>
      </c>
      <c r="H10" t="inlineStr">
        <is>
          <t>(모델W)</t>
        </is>
      </c>
      <c r="I10" t="n">
        <v>2</v>
      </c>
      <c r="K10">
        <f>IFERROR(J10/C10,"")</f>
        <v/>
      </c>
      <c r="O10">
        <f>IFERROR((M10-N10)/N10,"")</f>
        <v/>
      </c>
      <c r="P10">
        <f>IF(J10="","",IF(AND(L10="Y",K10&gt;=0.97,K10&lt;=1.03,IFERROR(ABS(O10)&lt;=IF(B10="26µm",0.13,0.1),FALSE)),"PASS","FAIL"))</f>
        <v/>
      </c>
    </row>
    <row r="11">
      <c r="A11" t="inlineStr">
        <is>
          <t>C-158</t>
        </is>
      </c>
      <c r="B11" t="inlineStr">
        <is>
          <t>158µm</t>
        </is>
      </c>
      <c r="C11" t="n">
        <v>158</v>
      </c>
      <c r="D11" t="inlineStr">
        <is>
          <t>(모델kV*)</t>
        </is>
      </c>
      <c r="E11" t="inlineStr">
        <is>
          <t>(모델R,높음)</t>
        </is>
      </c>
      <c r="F11">
        <f>IFERROR(ROUND(C11*0.2828/E11,0),"")</f>
        <v/>
      </c>
      <c r="G11" t="n">
        <v>32</v>
      </c>
      <c r="H11" t="inlineStr">
        <is>
          <t>(모델W)</t>
        </is>
      </c>
      <c r="I11" t="n">
        <v>3</v>
      </c>
      <c r="K11">
        <f>IFERROR(J11/C11,"")</f>
        <v/>
      </c>
      <c r="O11">
        <f>IFERROR((M11-N11)/N11,"")</f>
        <v/>
      </c>
      <c r="P11">
        <f>IF(J11="","",IF(AND(L11="Y",K11&gt;=0.97,K11&lt;=1.03,IFERROR(ABS(O11)&lt;=IF(B11="26µm",0.13,0.1),FALSE)),"PASS","FAIL"))</f>
        <v/>
      </c>
    </row>
  </sheetData>
  <mergeCells count="2">
    <mergeCell ref="A3:R3"/>
    <mergeCell ref="A2:R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역설계 모델 — 실험 채우면 계수 확정 → PD직경 D 입력 시 최적 파라미터 산출</t>
        </is>
      </c>
    </row>
    <row r="3">
      <c r="A3" s="4" t="inlineStr">
        <is>
          <t>■ 확정할 계수</t>
        </is>
      </c>
    </row>
    <row r="4">
      <c r="A4" s="1" t="inlineStr">
        <is>
          <t>kV 직경식</t>
        </is>
      </c>
      <c r="B4" s="2" t="inlineStr">
        <is>
          <t>측정직경/PD=1+s·(kV−kV0). Phase1로 s·kV*</t>
        </is>
      </c>
    </row>
    <row r="5">
      <c r="A5" s="1" t="inlineStr">
        <is>
          <t>N_target(R)</t>
        </is>
      </c>
      <c r="B5" s="2" t="inlineStr">
        <is>
          <t>Phase1 R스윕: gold 대비 |void편차| 7% 넘는 N(≈29). 26µm은 R하한→N37 고정(R0.2)</t>
        </is>
      </c>
    </row>
    <row r="6">
      <c r="A6" s="1" t="inlineStr">
        <is>
          <t>σ(F)</t>
        </is>
      </c>
      <c r="B6" s="2" t="inlineStr">
        <is>
          <t>Phase2 F스윕: void% σ_rel≤3.5% 최소 F</t>
        </is>
      </c>
    </row>
    <row r="7">
      <c r="A7" s="1" t="inlineStr">
        <is>
          <t>W*(두꺼운)</t>
        </is>
      </c>
      <c r="B7" s="2" t="inlineStr">
        <is>
          <t>Phase2 W스윕: 깜빡임0·σ최소·블러가드. 얇은=4W</t>
        </is>
      </c>
    </row>
    <row r="8">
      <c r="A8" s="1" t="inlineStr">
        <is>
          <t>교호작용</t>
        </is>
      </c>
      <c r="B8" s="2" t="inlineStr">
        <is>
          <t>Phase3 kV×R·W×F 계수</t>
        </is>
      </c>
    </row>
    <row r="9">
      <c r="A9" s="1" t="inlineStr">
        <is>
          <t>tact</t>
        </is>
      </c>
      <c r="B9" s="2" t="inlineStr">
        <is>
          <t>tact=a·(shot수·F)+b. 26µm은 R고정→shot수·F로만 단축</t>
        </is>
      </c>
    </row>
    <row r="11">
      <c r="A11" s="4" t="inlineStr">
        <is>
          <t>■ 역설계 규칙 (PD직경 D → 파라미터)</t>
        </is>
      </c>
    </row>
    <row r="12">
      <c r="A12" s="1" t="inlineStr">
        <is>
          <t>입력</t>
        </is>
      </c>
      <c r="B12" s="2" t="inlineStr">
        <is>
          <t>PD직경 D, void임계 p(8%), (알면)높이 h</t>
        </is>
      </c>
    </row>
    <row r="13">
      <c r="A13" s="1" t="inlineStr">
        <is>
          <t>1) kV</t>
        </is>
      </c>
      <c r="B13" s="2" t="inlineStr">
        <is>
          <t>kV*(D)서 시작해 1kV씩 트림→측정직경=PD(100%)</t>
        </is>
      </c>
    </row>
    <row r="14">
      <c r="A14" s="1" t="inlineStr">
        <is>
          <t>2) R</t>
        </is>
      </c>
      <c r="B14" s="2" t="inlineStr">
        <is>
          <t>R = max(0.2, D·√p/N_target). 큰 범프일수록 R↑ / 작은 범프는 0.2에 걸림</t>
        </is>
      </c>
    </row>
    <row r="15">
      <c r="A15" s="1" t="inlineStr">
        <is>
          <t>3) F</t>
        </is>
      </c>
      <c r="B15" s="2" t="inlineStr">
        <is>
          <t>σ(F)에서 σ_rel≤3.5% 최소 F</t>
        </is>
      </c>
    </row>
    <row r="16">
      <c r="A16" s="1" t="inlineStr">
        <is>
          <t>4) W</t>
        </is>
      </c>
      <c r="B16" s="2" t="inlineStr">
        <is>
          <t>얇으면 4W, 두꺼우면 W*(D). W↑로 F↓ 교환</t>
        </is>
      </c>
    </row>
    <row r="17">
      <c r="A17" s="1" t="inlineStr">
        <is>
          <t>5) 검증</t>
        </is>
      </c>
      <c r="B17" s="2" t="inlineStr">
        <is>
          <t>tact·합격기준 확인, 미달 시 해당 변수만 재조정</t>
        </is>
      </c>
    </row>
    <row r="19">
      <c r="A19" s="2" t="inlineStr">
        <is>
          <t>※ 확정 계수는 레시피모델.xlsx·파라미터_계산기.xlsx 보정계수·N_target에 옮겨 완성.</t>
        </is>
      </c>
    </row>
    <row r="20"/>
  </sheetData>
  <mergeCells count="13">
    <mergeCell ref="B8:H8"/>
    <mergeCell ref="B14:H14"/>
    <mergeCell ref="B17:H17"/>
    <mergeCell ref="B9:H9"/>
    <mergeCell ref="B13:H13"/>
    <mergeCell ref="B4:H4"/>
    <mergeCell ref="B12:H12"/>
    <mergeCell ref="B6:H6"/>
    <mergeCell ref="B16:H16"/>
    <mergeCell ref="B15:H15"/>
    <mergeCell ref="B7:H7"/>
    <mergeCell ref="A19:H20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2026-07-05T13:14:33Z</dcterms:created>
  <dcterms:modified xmlns:dcterms="http://purl.org/dc/terms/" xmlns:xsi="http://www.w3.org/2001/XMLSchema-instance" xsi:type="dcterms:W3CDTF">2026-07-05T13:27:34Z</dcterms:modified>
</cp:coreProperties>
</file>