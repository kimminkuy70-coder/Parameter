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계_설명" sheetId="1" state="visible" r:id="rId1"/>
    <sheet xmlns:r="http://schemas.openxmlformats.org/officeDocument/2006/relationships" name="Phase1_주효과_kV·R" sheetId="2" state="visible" r:id="rId2"/>
    <sheet xmlns:r="http://schemas.openxmlformats.org/officeDocument/2006/relationships" name="Phase2_재현성_F·W" sheetId="3" state="visible" r:id="rId3"/>
    <sheet xmlns:r="http://schemas.openxmlformats.org/officeDocument/2006/relationships" name="Phase3_교호작용" sheetId="4" state="visible" r:id="rId4"/>
    <sheet xmlns:r="http://schemas.openxmlformats.org/officeDocument/2006/relationships" name="Phase4_확인" sheetId="5" state="visible" r:id="rId5"/>
    <sheet xmlns:r="http://schemas.openxmlformats.org/officeDocument/2006/relationships" name="분석_역설계모델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1" fillId="3" borderId="0" pivotButton="0" quotePrefix="0" xfId="0"/>
    <xf numFmtId="0" fontId="0" fillId="2" borderId="0" applyAlignment="1" pivotButton="0" quotePrefix="0" xfId="0">
      <alignment vertical="top" wrapText="1"/>
    </xf>
    <xf numFmtId="0" fontId="1" fillId="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15" customWidth="1" min="1" max="1"/>
    <col width="22" customWidth="1" min="2" max="2"/>
    <col width="1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공정 모델링 실험 런시트 — 설계 설명 [35런 최소판]</t>
        </is>
      </c>
    </row>
    <row r="2">
      <c r="A2" s="2" t="inlineStr">
        <is>
          <t>목표: 모델 구축 시 [PD직경 D 입력] → [최적 kV·R·F·W 자동 결정] 으로 측정직경=100%·void 면적오차≤ε·검사시간 최소.</t>
        </is>
      </c>
    </row>
    <row r="4">
      <c r="A4" s="3" t="inlineStr">
        <is>
          <t>★ 반드시 구분: 두 종류의 'bump diameter'</t>
        </is>
      </c>
    </row>
    <row r="5">
      <c r="A5" s="1" t="inlineStr">
        <is>
          <t>① PD직경 D (독립변수)</t>
        </is>
      </c>
      <c r="B5" s="2" t="inlineStr">
        <is>
          <t>PD로 확인한 실제 범프 직경. 자재 고유·고정(26·158µm). N 설계·자재 구분 기준.</t>
        </is>
      </c>
    </row>
    <row r="6">
      <c r="A6" s="1" t="inlineStr">
        <is>
          <t>② 측정직경 (종속변수)</t>
        </is>
      </c>
      <c r="B6" s="2" t="inlineStr">
        <is>
          <t>X-ray 검사 결과 직경. kV 등에 따라 변함. 목표는 PD직경의 100%(Q_dia).</t>
        </is>
      </c>
    </row>
    <row r="7">
      <c r="A7" s="3" t="inlineStr">
        <is>
          <t>■ void% 기준 = 측정 bump면적 (실제 .csv 확인)</t>
        </is>
      </c>
    </row>
    <row r="8">
      <c r="A8" s="2" t="inlineStr">
        <is>
          <t>XRA_VOID.csv: 범프 Area = π/4·(측정직경)² 정확 일치 → void% = void면적÷측정면적, 8% 판정도 여기 적용. 런시트는 장비 출력 void%(M열) 그대로 입력. kV가 분모(측정면적)에도 작용해 void%에 이중효과.</t>
        </is>
      </c>
    </row>
    <row r="9"/>
    <row r="10"/>
    <row r="12">
      <c r="A12" s="3" t="inlineStr">
        <is>
          <t>■ 장비 제약: R 최소 = 0.2 µm/px  ★신규 반영</t>
        </is>
      </c>
    </row>
    <row r="13">
      <c r="A13" s="2" t="inlineStr">
        <is>
          <t>N = 0.283·PD직경 / R. R을 0.2 밑으로 못 내리므로 자재별 '가장 정밀한 N'에 상한이 생김: · 26µm → R0.2에서 N=37이 최대(픽셀오차 5.4%). 더 정밀 불가 → 26µm의 gold=R0.2(N37)이고 R로 속도 벌 여지 거의 없음(R은 0.2에 사실상 고정, 시간단축은 shot수·Frame으로). · 158µm → R0.2에서 N=223로 과잉 → R을 1.5(N30)까지 키워 속도 확보. R 자유도 큼. 결론: 작은 범프일수록 R 자유도가 없다.</t>
        </is>
      </c>
    </row>
    <row r="14"/>
    <row r="15"/>
    <row r="16"/>
    <row r="18">
      <c r="A18" s="4" t="inlineStr">
        <is>
          <t>■ 각 독립변수의 void 측정 메커니즘</t>
        </is>
      </c>
    </row>
    <row r="19">
      <c r="A19" s="1" t="inlineStr">
        <is>
          <t>kV</t>
        </is>
      </c>
      <c r="B19" s="2" t="inlineStr">
        <is>
          <t>대비→경계 이동→void면적 bias. 측정직경(=분모)도 이동시켜 void%에 이중작용.</t>
        </is>
      </c>
    </row>
    <row r="20">
      <c r="A20" s="1" t="inlineStr">
        <is>
          <t>R</t>
        </is>
      </c>
      <c r="B20" s="2" t="inlineStr">
        <is>
          <t>픽셀화 오차=2/N. 단 R≥0.2 하한 → 26µm는 N≤37로 제한.</t>
        </is>
      </c>
    </row>
    <row r="21">
      <c r="A21" s="1" t="inlineStr">
        <is>
          <t>W</t>
        </is>
      </c>
      <c r="B21" s="2" t="inlineStr">
        <is>
          <t>두꺼운 범프 내부 광자부족→노이즈 void·경계 흔들림. 얇은 범프 둔감.</t>
        </is>
      </c>
    </row>
    <row r="22">
      <c r="A22" s="1" t="inlineStr">
        <is>
          <t>F</t>
        </is>
      </c>
      <c r="B22" s="2" t="inlineStr">
        <is>
          <t>랜덤 노이즈 평균화→반복 σ. 시간 정비례.</t>
        </is>
      </c>
    </row>
    <row r="24">
      <c r="A24" s="4" t="inlineStr">
        <is>
          <t>■ 설계 원리</t>
        </is>
      </c>
    </row>
    <row r="25">
      <c r="A25" s="2" t="inlineStr">
        <is>
          <t>교호작용→OFAT 불가. [주효과 스윕+의심 교호작용 2×2+같은범프 반복(σ)]. ε=10% 총예산 (2/N)²+(2σ)²≤10² → N_target≈29(단 26µm은 R하한 탓에 N37 고정)·σ≤3.5%. Ground truth 없어 자기참조(gold)+재현성.</t>
        </is>
      </c>
    </row>
    <row r="26"/>
    <row r="27"/>
    <row r="29">
      <c r="A29" s="3" t="inlineStr">
        <is>
          <t>■ 35런이 55런 대비 줄인 것</t>
        </is>
      </c>
    </row>
    <row r="30">
      <c r="A30" s="2" t="inlineStr">
        <is>
          <t>kV 3→2점 · F16 제외 · W 4→2점 · 교호작용 반복 제거(σ 없음)·W×F 4→3셀. 핵심 골격 유지.</t>
        </is>
      </c>
    </row>
    <row r="31"/>
  </sheetData>
  <mergeCells count="14">
    <mergeCell ref="A8:H10"/>
    <mergeCell ref="A4:H4"/>
    <mergeCell ref="A12:H12"/>
    <mergeCell ref="B22:H22"/>
    <mergeCell ref="A25:H27"/>
    <mergeCell ref="A7:H7"/>
    <mergeCell ref="B19:H19"/>
    <mergeCell ref="B21:H21"/>
    <mergeCell ref="A2:H2"/>
    <mergeCell ref="B20:H20"/>
    <mergeCell ref="B6:H6"/>
    <mergeCell ref="A30:H31"/>
    <mergeCell ref="B5:H5"/>
    <mergeCell ref="A13:H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</cols>
  <sheetData>
    <row r="1">
      <c r="A1" s="1" t="inlineStr">
        <is>
          <t>Phase1_주효과_kV·R</t>
        </is>
      </c>
    </row>
    <row r="2">
      <c r="A2" s="5" t="inlineStr">
        <is>
          <t>직경 다이얼(kV)·void 픽셀화(R). R최소행=gold → 그 void%를 N열에. 26µm gold=R0.2(N37,장비하한) / 158µm gold=R0.4(N112). 고정 F32·W4.</t>
        </is>
      </c>
    </row>
    <row r="3">
      <c r="A3" s="2" t="inlineStr">
        <is>
          <t>D(C열)=PD직경(독립·참값) / 측정직경(J열)=검사결과(종속) / void%(M열)=장비 출력(측정면적 기준) / R≥0.2.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</row>
    <row r="6">
      <c r="A6" t="inlineStr">
        <is>
          <t>kV1</t>
        </is>
      </c>
      <c r="B6" t="inlineStr">
        <is>
          <t>26µm</t>
        </is>
      </c>
      <c r="C6" t="n">
        <v>26</v>
      </c>
      <c r="D6" t="n">
        <v>55.5</v>
      </c>
      <c r="E6" t="n">
        <v>0.2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측정직경=PD 되는 kV* 찾기</t>
        </is>
      </c>
    </row>
    <row r="7">
      <c r="A7" t="inlineStr">
        <is>
          <t>kV2</t>
        </is>
      </c>
      <c r="B7" t="inlineStr">
        <is>
          <t>26µm</t>
        </is>
      </c>
      <c r="C7" t="n">
        <v>26</v>
      </c>
      <c r="D7" t="n">
        <v>59.5</v>
      </c>
      <c r="E7" t="n">
        <v>0.2</v>
      </c>
      <c r="F7">
        <f>IFERROR(ROUND(C7*0.2828/E7,0),"")</f>
        <v/>
      </c>
      <c r="G7" t="n">
        <v>32</v>
      </c>
      <c r="H7" t="n">
        <v>4</v>
      </c>
      <c r="I7" t="n">
        <v>1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>
        <is>
          <t>측정직경=PD 되는 kV* 찾기</t>
        </is>
      </c>
    </row>
    <row r="8">
      <c r="A8" t="inlineStr">
        <is>
          <t>kV3</t>
        </is>
      </c>
      <c r="B8" t="inlineStr">
        <is>
          <t>158µm</t>
        </is>
      </c>
      <c r="C8" t="n">
        <v>158</v>
      </c>
      <c r="D8" t="n">
        <v>58.5</v>
      </c>
      <c r="E8" t="n">
        <v>0.4</v>
      </c>
      <c r="F8">
        <f>IFERROR(ROUND(C8*0.2828/E8,0),"")</f>
        <v/>
      </c>
      <c r="G8" t="n">
        <v>32</v>
      </c>
      <c r="H8" t="n">
        <v>4</v>
      </c>
      <c r="I8" t="n">
        <v>1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>
        <is>
          <t>158µm kV* 찾기</t>
        </is>
      </c>
    </row>
    <row r="9">
      <c r="A9" t="inlineStr">
        <is>
          <t>kV4</t>
        </is>
      </c>
      <c r="B9" t="inlineStr">
        <is>
          <t>158µm</t>
        </is>
      </c>
      <c r="C9" t="n">
        <v>158</v>
      </c>
      <c r="D9" t="n">
        <v>62.5</v>
      </c>
      <c r="E9" t="n">
        <v>0.4</v>
      </c>
      <c r="F9">
        <f>IFERROR(ROUND(C9*0.2828/E9,0),"")</f>
        <v/>
      </c>
      <c r="G9" t="n">
        <v>32</v>
      </c>
      <c r="H9" t="n">
        <v>4</v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158µm kV* 찾기</t>
        </is>
      </c>
    </row>
    <row r="10">
      <c r="A10" t="inlineStr">
        <is>
          <t>R1</t>
        </is>
      </c>
      <c r="B10" t="inlineStr">
        <is>
          <t>26µm</t>
        </is>
      </c>
      <c r="C10" t="n">
        <v>26</v>
      </c>
      <c r="D10" t="n">
        <v>57.5</v>
      </c>
      <c r="E10" t="n">
        <v>0.2</v>
      </c>
      <c r="F10">
        <f>IFERROR(ROUND(C10*0.2828/E10,0),"")</f>
        <v/>
      </c>
      <c r="G10" t="n">
        <v>32</v>
      </c>
      <c r="H10" t="n">
        <v>4</v>
      </c>
      <c r="I10" t="n">
        <v>1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>
        <is>
          <t>N≈37 =gold(R하한)</t>
        </is>
      </c>
    </row>
    <row r="11">
      <c r="A11" t="inlineStr">
        <is>
          <t>R2</t>
        </is>
      </c>
      <c r="B11" t="inlineStr">
        <is>
          <t>26µm</t>
        </is>
      </c>
      <c r="C11" t="n">
        <v>26</v>
      </c>
      <c r="D11" t="n">
        <v>57.5</v>
      </c>
      <c r="E11" t="n">
        <v>0.3</v>
      </c>
      <c r="F11">
        <f>IFERROR(ROUND(C11*0.2828/E11,0),"")</f>
        <v/>
      </c>
      <c r="G11" t="n">
        <v>32</v>
      </c>
      <c r="H11" t="n">
        <v>4</v>
      </c>
      <c r="I11" t="n">
        <v>1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>
        <is>
          <t>N≈25</t>
        </is>
      </c>
    </row>
    <row r="12">
      <c r="A12" t="inlineStr">
        <is>
          <t>R3</t>
        </is>
      </c>
      <c r="B12" t="inlineStr">
        <is>
          <t>26µm</t>
        </is>
      </c>
      <c r="C12" t="n">
        <v>26</v>
      </c>
      <c r="D12" t="n">
        <v>57.5</v>
      </c>
      <c r="E12" t="n">
        <v>0.5</v>
      </c>
      <c r="F12">
        <f>IFERROR(ROUND(C12*0.2828/E12,0),"")</f>
        <v/>
      </c>
      <c r="G12" t="n">
        <v>32</v>
      </c>
      <c r="H12" t="n">
        <v>4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N≈15</t>
        </is>
      </c>
    </row>
    <row r="13">
      <c r="A13" t="inlineStr">
        <is>
          <t>R4</t>
        </is>
      </c>
      <c r="B13" t="inlineStr">
        <is>
          <t>158µm</t>
        </is>
      </c>
      <c r="C13" t="n">
        <v>158</v>
      </c>
      <c r="D13" t="n">
        <v>60.5</v>
      </c>
      <c r="E13" t="n">
        <v>0.4</v>
      </c>
      <c r="F13">
        <f>IFERROR(ROUND(C13*0.2828/E13,0),"")</f>
        <v/>
      </c>
      <c r="G13" t="n">
        <v>32</v>
      </c>
      <c r="H13" t="n">
        <v>4</v>
      </c>
      <c r="I13" t="n">
        <v>1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IF(J13="","",IF(AND(L13="Y",K13&gt;=0.97,K13&lt;=1.03,IFERROR(ABS(O13)&lt;=0.1,FALSE)),"PASS","FAIL"))</f>
        <v/>
      </c>
      <c r="R13" t="inlineStr">
        <is>
          <t>N≈112 =gold</t>
        </is>
      </c>
    </row>
    <row r="14">
      <c r="A14" t="inlineStr">
        <is>
          <t>R5</t>
        </is>
      </c>
      <c r="B14" t="inlineStr">
        <is>
          <t>158µm</t>
        </is>
      </c>
      <c r="C14" t="n">
        <v>158</v>
      </c>
      <c r="D14" t="n">
        <v>60.5</v>
      </c>
      <c r="E14" t="n">
        <v>1.5</v>
      </c>
      <c r="F14">
        <f>IFERROR(ROUND(C14*0.2828/E14,0),"")</f>
        <v/>
      </c>
      <c r="G14" t="n">
        <v>32</v>
      </c>
      <c r="H14" t="n">
        <v>4</v>
      </c>
      <c r="I14" t="n">
        <v>1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IF(J14="","",IF(AND(L14="Y",K14&gt;=0.97,K14&lt;=1.03,IFERROR(ABS(O14)&lt;=0.1,FALSE)),"PASS","FAIL"))</f>
        <v/>
      </c>
      <c r="R14" t="inlineStr">
        <is>
          <t>N≈30</t>
        </is>
      </c>
    </row>
    <row r="15">
      <c r="A15" t="inlineStr">
        <is>
          <t>R6</t>
        </is>
      </c>
      <c r="B15" t="inlineStr">
        <is>
          <t>158µm</t>
        </is>
      </c>
      <c r="C15" t="n">
        <v>158</v>
      </c>
      <c r="D15" t="n">
        <v>60.5</v>
      </c>
      <c r="E15" t="n">
        <v>3</v>
      </c>
      <c r="F15">
        <f>IFERROR(ROUND(C15*0.2828/E15,0),"")</f>
        <v/>
      </c>
      <c r="G15" t="n">
        <v>32</v>
      </c>
      <c r="H15" t="n">
        <v>4</v>
      </c>
      <c r="I15" t="n">
        <v>1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IF(J15="","",IF(AND(L15="Y",K15&gt;=0.97,K15&lt;=1.03,IFERROR(ABS(O15)&lt;=0.1,FALSE)),"PASS","FAIL"))</f>
        <v/>
      </c>
      <c r="R15" t="inlineStr">
        <is>
          <t>N≈15</t>
        </is>
      </c>
    </row>
  </sheetData>
  <mergeCells count="2">
    <mergeCell ref="A3:R3"/>
    <mergeCell ref="A2:R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  <col width="14" customWidth="1" min="19" max="19"/>
  </cols>
  <sheetData>
    <row r="1">
      <c r="A1" s="1" t="inlineStr">
        <is>
          <t>Phase2_재현성_F·W</t>
        </is>
      </c>
    </row>
    <row r="2">
      <c r="A2" s="5" t="inlineStr">
        <is>
          <t>같은 범프 반복→void% σ. 26µm=F스윕(R0.2·W4), 158µm=W스윕(R1.5·F32). kV*.</t>
        </is>
      </c>
    </row>
    <row r="3">
      <c r="A3" s="2" t="inlineStr">
        <is>
          <t>D(C열)=PD직경(독립·참값) / 측정직경(J열)=검사결과(종속) / void%(M열)=장비 출력(측정면적 기준) / R≥0.2.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  <c r="S5" s="6" t="inlineStr">
        <is>
          <t>void%σ_rel(자동)</t>
        </is>
      </c>
    </row>
    <row r="6">
      <c r="A6" t="inlineStr">
        <is>
          <t>F32</t>
        </is>
      </c>
      <c r="B6" t="inlineStr">
        <is>
          <t>26µm</t>
        </is>
      </c>
      <c r="C6" t="n">
        <v>26</v>
      </c>
      <c r="D6" t="n">
        <v>57.5</v>
      </c>
      <c r="E6" t="n">
        <v>0.2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F=32 재현성</t>
        </is>
      </c>
      <c r="S6">
        <f>IFERROR(STDEV(M6:M8)/AVERAGE(M6:M8),"")</f>
        <v/>
      </c>
    </row>
    <row r="7">
      <c r="A7" t="inlineStr">
        <is>
          <t>F32</t>
        </is>
      </c>
      <c r="B7" t="inlineStr">
        <is>
          <t>26µm</t>
        </is>
      </c>
      <c r="C7" t="n">
        <v>26</v>
      </c>
      <c r="D7" t="n">
        <v>57.5</v>
      </c>
      <c r="E7" t="n">
        <v>0.2</v>
      </c>
      <c r="F7">
        <f>IFERROR(ROUND(C7*0.2828/E7,0),"")</f>
        <v/>
      </c>
      <c r="G7" t="n">
        <v>32</v>
      </c>
      <c r="H7" t="n">
        <v>4</v>
      </c>
      <c r="I7" t="n">
        <v>2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/>
    </row>
    <row r="8">
      <c r="A8" t="inlineStr">
        <is>
          <t>F32</t>
        </is>
      </c>
      <c r="B8" t="inlineStr">
        <is>
          <t>26µm</t>
        </is>
      </c>
      <c r="C8" t="n">
        <v>26</v>
      </c>
      <c r="D8" t="n">
        <v>57.5</v>
      </c>
      <c r="E8" t="n">
        <v>0.2</v>
      </c>
      <c r="F8">
        <f>IFERROR(ROUND(C8*0.2828/E8,0),"")</f>
        <v/>
      </c>
      <c r="G8" t="n">
        <v>32</v>
      </c>
      <c r="H8" t="n">
        <v>4</v>
      </c>
      <c r="I8" t="n">
        <v>3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/>
    </row>
    <row r="9">
      <c r="A9" t="inlineStr">
        <is>
          <t>F64</t>
        </is>
      </c>
      <c r="B9" t="inlineStr">
        <is>
          <t>26µm</t>
        </is>
      </c>
      <c r="C9" t="n">
        <v>26</v>
      </c>
      <c r="D9" t="n">
        <v>57.5</v>
      </c>
      <c r="E9" t="n">
        <v>0.2</v>
      </c>
      <c r="F9">
        <f>IFERROR(ROUND(C9*0.2828/E9,0),"")</f>
        <v/>
      </c>
      <c r="G9" t="n">
        <v>64</v>
      </c>
      <c r="H9" t="n">
        <v>4</v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F=64 재현성</t>
        </is>
      </c>
      <c r="S9">
        <f>IFERROR(STDEV(M9:M11)/AVERAGE(M9:M11),"")</f>
        <v/>
      </c>
    </row>
    <row r="10">
      <c r="A10" t="inlineStr">
        <is>
          <t>F64</t>
        </is>
      </c>
      <c r="B10" t="inlineStr">
        <is>
          <t>26µm</t>
        </is>
      </c>
      <c r="C10" t="n">
        <v>26</v>
      </c>
      <c r="D10" t="n">
        <v>57.5</v>
      </c>
      <c r="E10" t="n">
        <v>0.2</v>
      </c>
      <c r="F10">
        <f>IFERROR(ROUND(C10*0.2828/E10,0),"")</f>
        <v/>
      </c>
      <c r="G10" t="n">
        <v>64</v>
      </c>
      <c r="H10" t="n">
        <v>4</v>
      </c>
      <c r="I10" t="n">
        <v>2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/>
    </row>
    <row r="11">
      <c r="A11" t="inlineStr">
        <is>
          <t>F64</t>
        </is>
      </c>
      <c r="B11" t="inlineStr">
        <is>
          <t>26µm</t>
        </is>
      </c>
      <c r="C11" t="n">
        <v>26</v>
      </c>
      <c r="D11" t="n">
        <v>57.5</v>
      </c>
      <c r="E11" t="n">
        <v>0.2</v>
      </c>
      <c r="F11">
        <f>IFERROR(ROUND(C11*0.2828/E11,0),"")</f>
        <v/>
      </c>
      <c r="G11" t="n">
        <v>64</v>
      </c>
      <c r="H11" t="n">
        <v>4</v>
      </c>
      <c r="I11" t="n">
        <v>3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/>
    </row>
    <row r="12">
      <c r="A12" t="inlineStr">
        <is>
          <t>W4</t>
        </is>
      </c>
      <c r="B12" t="inlineStr">
        <is>
          <t>158µm</t>
        </is>
      </c>
      <c r="C12" t="n">
        <v>158</v>
      </c>
      <c r="D12" t="n">
        <v>60.5</v>
      </c>
      <c r="E12" t="n">
        <v>1.5</v>
      </c>
      <c r="F12">
        <f>IFERROR(ROUND(C12*0.2828/E12,0),"")</f>
        <v/>
      </c>
      <c r="G12" t="n">
        <v>32</v>
      </c>
      <c r="H12" t="n">
        <v>4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W=4 재현성·깜빡임</t>
        </is>
      </c>
      <c r="S12">
        <f>IFERROR(STDEV(M12:M14)/AVERAGE(M12:M14),"")</f>
        <v/>
      </c>
    </row>
    <row r="13">
      <c r="A13" t="inlineStr">
        <is>
          <t>W4</t>
        </is>
      </c>
      <c r="B13" t="inlineStr">
        <is>
          <t>158µm</t>
        </is>
      </c>
      <c r="C13" t="n">
        <v>158</v>
      </c>
      <c r="D13" t="n">
        <v>60.5</v>
      </c>
      <c r="E13" t="n">
        <v>1.5</v>
      </c>
      <c r="F13">
        <f>IFERROR(ROUND(C13*0.2828/E13,0),"")</f>
        <v/>
      </c>
      <c r="G13" t="n">
        <v>32</v>
      </c>
      <c r="H13" t="n">
        <v>4</v>
      </c>
      <c r="I13" t="n">
        <v>2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IF(J13="","",IF(AND(L13="Y",K13&gt;=0.97,K13&lt;=1.03,IFERROR(ABS(O13)&lt;=0.1,FALSE)),"PASS","FAIL"))</f>
        <v/>
      </c>
      <c r="R13" t="inlineStr"/>
    </row>
    <row r="14">
      <c r="A14" t="inlineStr">
        <is>
          <t>W4</t>
        </is>
      </c>
      <c r="B14" t="inlineStr">
        <is>
          <t>158µm</t>
        </is>
      </c>
      <c r="C14" t="n">
        <v>158</v>
      </c>
      <c r="D14" t="n">
        <v>60.5</v>
      </c>
      <c r="E14" t="n">
        <v>1.5</v>
      </c>
      <c r="F14">
        <f>IFERROR(ROUND(C14*0.2828/E14,0),"")</f>
        <v/>
      </c>
      <c r="G14" t="n">
        <v>32</v>
      </c>
      <c r="H14" t="n">
        <v>4</v>
      </c>
      <c r="I14" t="n">
        <v>3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IF(J14="","",IF(AND(L14="Y",K14&gt;=0.97,K14&lt;=1.03,IFERROR(ABS(O14)&lt;=0.1,FALSE)),"PASS","FAIL"))</f>
        <v/>
      </c>
      <c r="R14" t="inlineStr"/>
    </row>
    <row r="15">
      <c r="A15" t="inlineStr">
        <is>
          <t>W6</t>
        </is>
      </c>
      <c r="B15" t="inlineStr">
        <is>
          <t>158µm</t>
        </is>
      </c>
      <c r="C15" t="n">
        <v>158</v>
      </c>
      <c r="D15" t="n">
        <v>60.5</v>
      </c>
      <c r="E15" t="n">
        <v>1.5</v>
      </c>
      <c r="F15">
        <f>IFERROR(ROUND(C15*0.2828/E15,0),"")</f>
        <v/>
      </c>
      <c r="G15" t="n">
        <v>32</v>
      </c>
      <c r="H15" t="n">
        <v>6</v>
      </c>
      <c r="I15" t="n">
        <v>1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IF(J15="","",IF(AND(L15="Y",K15&gt;=0.97,K15&lt;=1.03,IFERROR(ABS(O15)&lt;=0.1,FALSE)),"PASS","FAIL"))</f>
        <v/>
      </c>
      <c r="R15" t="inlineStr">
        <is>
          <t>W=6 재현성·깜빡임</t>
        </is>
      </c>
      <c r="S15">
        <f>IFERROR(STDEV(M15:M17)/AVERAGE(M15:M17),"")</f>
        <v/>
      </c>
    </row>
    <row r="16">
      <c r="A16" t="inlineStr">
        <is>
          <t>W6</t>
        </is>
      </c>
      <c r="B16" t="inlineStr">
        <is>
          <t>158µm</t>
        </is>
      </c>
      <c r="C16" t="n">
        <v>158</v>
      </c>
      <c r="D16" t="n">
        <v>60.5</v>
      </c>
      <c r="E16" t="n">
        <v>1.5</v>
      </c>
      <c r="F16">
        <f>IFERROR(ROUND(C16*0.2828/E16,0),"")</f>
        <v/>
      </c>
      <c r="G16" t="n">
        <v>32</v>
      </c>
      <c r="H16" t="n">
        <v>6</v>
      </c>
      <c r="I16" t="n">
        <v>2</v>
      </c>
      <c r="K16">
        <f>IFERROR(J16/C16,"")</f>
        <v/>
      </c>
      <c r="O16">
        <f>IFERROR((M16-N16)/N16,"")</f>
        <v/>
      </c>
      <c r="P16">
        <f>IF(J16="","",IF(AND(L16="Y",K16&gt;=0.97,K16&lt;=1.03,IFERROR(ABS(O16)&lt;=0.1,FALSE)),"PASS","FAIL"))</f>
        <v/>
      </c>
      <c r="R16" t="inlineStr"/>
    </row>
    <row r="17">
      <c r="A17" t="inlineStr">
        <is>
          <t>W6</t>
        </is>
      </c>
      <c r="B17" t="inlineStr">
        <is>
          <t>158µm</t>
        </is>
      </c>
      <c r="C17" t="n">
        <v>158</v>
      </c>
      <c r="D17" t="n">
        <v>60.5</v>
      </c>
      <c r="E17" t="n">
        <v>1.5</v>
      </c>
      <c r="F17">
        <f>IFERROR(ROUND(C17*0.2828/E17,0),"")</f>
        <v/>
      </c>
      <c r="G17" t="n">
        <v>32</v>
      </c>
      <c r="H17" t="n">
        <v>6</v>
      </c>
      <c r="I17" t="n">
        <v>3</v>
      </c>
      <c r="K17">
        <f>IFERROR(J17/C17,"")</f>
        <v/>
      </c>
      <c r="O17">
        <f>IFERROR((M17-N17)/N17,"")</f>
        <v/>
      </c>
      <c r="P17">
        <f>IF(J17="","",IF(AND(L17="Y",K17&gt;=0.97,K17&lt;=1.03,IFERROR(ABS(O17)&lt;=0.1,FALSE)),"PASS","FAIL"))</f>
        <v/>
      </c>
      <c r="R17" t="inlineStr"/>
    </row>
  </sheetData>
  <mergeCells count="2">
    <mergeCell ref="A3:R3"/>
    <mergeCell ref="A2: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</cols>
  <sheetData>
    <row r="1">
      <c r="A1" s="1" t="inlineStr">
        <is>
          <t>Phase3_교호작용</t>
        </is>
      </c>
    </row>
    <row r="2">
      <c r="A2" s="5" t="inlineStr">
        <is>
          <t>kV×R(26µm): 대비bias×픽셀화 / W×F(158µm): SNR∝√(W·F) 교환. ×D는 두 자재.</t>
        </is>
      </c>
    </row>
    <row r="3">
      <c r="A3" s="2" t="inlineStr">
        <is>
          <t>D(C열)=PD직경(독립·참값) / 측정직경(J열)=검사결과(종속) / void%(M열)=장비 출력(측정면적 기준) / R≥0.2.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</row>
    <row r="6">
      <c r="A6" t="inlineStr">
        <is>
          <t>KR</t>
        </is>
      </c>
      <c r="B6" t="inlineStr">
        <is>
          <t>26µm</t>
        </is>
      </c>
      <c r="C6" t="n">
        <v>26</v>
      </c>
      <c r="D6" t="n">
        <v>55.5</v>
      </c>
      <c r="E6" t="n">
        <v>0.2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kV55.5×R0.2(N37)</t>
        </is>
      </c>
    </row>
    <row r="7">
      <c r="A7" t="inlineStr">
        <is>
          <t>KR</t>
        </is>
      </c>
      <c r="B7" t="inlineStr">
        <is>
          <t>26µm</t>
        </is>
      </c>
      <c r="C7" t="n">
        <v>26</v>
      </c>
      <c r="D7" t="n">
        <v>55.5</v>
      </c>
      <c r="E7" t="n">
        <v>0.5</v>
      </c>
      <c r="F7">
        <f>IFERROR(ROUND(C7*0.2828/E7,0),"")</f>
        <v/>
      </c>
      <c r="G7" t="n">
        <v>32</v>
      </c>
      <c r="H7" t="n">
        <v>4</v>
      </c>
      <c r="I7" t="n">
        <v>1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>
        <is>
          <t>kV55.5×R0.5(N15)</t>
        </is>
      </c>
    </row>
    <row r="8">
      <c r="A8" t="inlineStr">
        <is>
          <t>KR</t>
        </is>
      </c>
      <c r="B8" t="inlineStr">
        <is>
          <t>26µm</t>
        </is>
      </c>
      <c r="C8" t="n">
        <v>26</v>
      </c>
      <c r="D8" t="n">
        <v>59.5</v>
      </c>
      <c r="E8" t="n">
        <v>0.2</v>
      </c>
      <c r="F8">
        <f>IFERROR(ROUND(C8*0.2828/E8,0),"")</f>
        <v/>
      </c>
      <c r="G8" t="n">
        <v>32</v>
      </c>
      <c r="H8" t="n">
        <v>4</v>
      </c>
      <c r="I8" t="n">
        <v>1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>
        <is>
          <t>kV59.5×R0.2(N37)</t>
        </is>
      </c>
    </row>
    <row r="9">
      <c r="A9" t="inlineStr">
        <is>
          <t>KR</t>
        </is>
      </c>
      <c r="B9" t="inlineStr">
        <is>
          <t>26µm</t>
        </is>
      </c>
      <c r="C9" t="n">
        <v>26</v>
      </c>
      <c r="D9" t="n">
        <v>59.5</v>
      </c>
      <c r="E9" t="n">
        <v>0.5</v>
      </c>
      <c r="F9">
        <f>IFERROR(ROUND(C9*0.2828/E9,0),"")</f>
        <v/>
      </c>
      <c r="G9" t="n">
        <v>32</v>
      </c>
      <c r="H9" t="n">
        <v>4</v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kV59.5×R0.5(N15)</t>
        </is>
      </c>
    </row>
    <row r="10">
      <c r="A10" t="inlineStr">
        <is>
          <t>WF</t>
        </is>
      </c>
      <c r="B10" t="inlineStr">
        <is>
          <t>158µm</t>
        </is>
      </c>
      <c r="C10" t="n">
        <v>158</v>
      </c>
      <c r="D10" t="n">
        <v>60.5</v>
      </c>
      <c r="E10" t="n">
        <v>1.5</v>
      </c>
      <c r="F10">
        <f>IFERROR(ROUND(C10*0.2828/E10,0),"")</f>
        <v/>
      </c>
      <c r="G10" t="n">
        <v>32</v>
      </c>
      <c r="H10" t="n">
        <v>4</v>
      </c>
      <c r="I10" t="n">
        <v>1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>
        <is>
          <t>W4×F32(기준)</t>
        </is>
      </c>
    </row>
    <row r="11">
      <c r="A11" t="inlineStr">
        <is>
          <t>WF</t>
        </is>
      </c>
      <c r="B11" t="inlineStr">
        <is>
          <t>158µm</t>
        </is>
      </c>
      <c r="C11" t="n">
        <v>158</v>
      </c>
      <c r="D11" t="n">
        <v>60.5</v>
      </c>
      <c r="E11" t="n">
        <v>1.5</v>
      </c>
      <c r="F11">
        <f>IFERROR(ROUND(C11*0.2828/E11,0),"")</f>
        <v/>
      </c>
      <c r="G11" t="n">
        <v>32</v>
      </c>
      <c r="H11" t="n">
        <v>6</v>
      </c>
      <c r="I11" t="n">
        <v>1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>
        <is>
          <t>W6×F32(W효과)</t>
        </is>
      </c>
    </row>
    <row r="12">
      <c r="A12" t="inlineStr">
        <is>
          <t>WF</t>
        </is>
      </c>
      <c r="B12" t="inlineStr">
        <is>
          <t>158µm</t>
        </is>
      </c>
      <c r="C12" t="n">
        <v>158</v>
      </c>
      <c r="D12" t="n">
        <v>60.5</v>
      </c>
      <c r="E12" t="n">
        <v>1.5</v>
      </c>
      <c r="F12">
        <f>IFERROR(ROUND(C12*0.2828/E12,0),"")</f>
        <v/>
      </c>
      <c r="G12" t="n">
        <v>16</v>
      </c>
      <c r="H12" t="n">
        <v>6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W6×F16(F교환)</t>
        </is>
      </c>
    </row>
  </sheetData>
  <mergeCells count="2">
    <mergeCell ref="A3:R3"/>
    <mergeCell ref="A2:R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  <col width="14" customWidth="1" min="19" max="19"/>
  </cols>
  <sheetData>
    <row r="1">
      <c r="A1" s="1" t="inlineStr">
        <is>
          <t>Phase4_확인</t>
        </is>
      </c>
    </row>
    <row r="2">
      <c r="A2" s="5" t="inlineStr">
        <is>
          <t>모델 산출 (kV,R,F,W)로 자재별 ×3반복. 합격: 매칭Y &amp; Q_dia97~103% &amp; |void편차|≤10% &amp; σ≤3.5% &amp; tact 최소.</t>
        </is>
      </c>
    </row>
    <row r="3">
      <c r="A3" s="2" t="inlineStr">
        <is>
          <t>D(C열)=PD직경(독립·참값) / 측정직경(J열)=검사결과(종속) / void%(M열)=장비 출력(측정면적 기준) / R≥0.2.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  <c r="S5" s="6" t="inlineStr">
        <is>
          <t>void%σ_rel(자동)</t>
        </is>
      </c>
    </row>
    <row r="6">
      <c r="A6" t="inlineStr">
        <is>
          <t>C-26</t>
        </is>
      </c>
      <c r="B6" t="inlineStr">
        <is>
          <t>26µm</t>
        </is>
      </c>
      <c r="C6" t="n">
        <v>26</v>
      </c>
      <c r="D6" t="inlineStr">
        <is>
          <t>(모델kV*)</t>
        </is>
      </c>
      <c r="E6" t="inlineStr">
        <is>
          <t>(모델R≥0.2)</t>
        </is>
      </c>
      <c r="F6">
        <f>IFERROR(ROUND(C6*0.2828/E6,0),"")</f>
        <v/>
      </c>
      <c r="G6" t="n">
        <v>32</v>
      </c>
      <c r="H6" t="inlineStr">
        <is>
          <t>(모델W)</t>
        </is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모델 산출값 검증</t>
        </is>
      </c>
      <c r="S6">
        <f>IFERROR(STDEV(M6:M8)/AVERAGE(M6:M8),"")</f>
        <v/>
      </c>
    </row>
    <row r="7">
      <c r="A7" t="inlineStr">
        <is>
          <t>C-26</t>
        </is>
      </c>
      <c r="B7" t="inlineStr">
        <is>
          <t>26µm</t>
        </is>
      </c>
      <c r="C7" t="n">
        <v>26</v>
      </c>
      <c r="D7" t="inlineStr">
        <is>
          <t>(모델kV*)</t>
        </is>
      </c>
      <c r="E7" t="inlineStr">
        <is>
          <t>(모델R≥0.2)</t>
        </is>
      </c>
      <c r="F7">
        <f>IFERROR(ROUND(C7*0.2828/E7,0),"")</f>
        <v/>
      </c>
      <c r="G7" t="n">
        <v>32</v>
      </c>
      <c r="H7" t="inlineStr">
        <is>
          <t>(모델W)</t>
        </is>
      </c>
      <c r="I7" t="n">
        <v>2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/>
    </row>
    <row r="8">
      <c r="A8" t="inlineStr">
        <is>
          <t>C-26</t>
        </is>
      </c>
      <c r="B8" t="inlineStr">
        <is>
          <t>26µm</t>
        </is>
      </c>
      <c r="C8" t="n">
        <v>26</v>
      </c>
      <c r="D8" t="inlineStr">
        <is>
          <t>(모델kV*)</t>
        </is>
      </c>
      <c r="E8" t="inlineStr">
        <is>
          <t>(모델R≥0.2)</t>
        </is>
      </c>
      <c r="F8">
        <f>IFERROR(ROUND(C8*0.2828/E8,0),"")</f>
        <v/>
      </c>
      <c r="G8" t="n">
        <v>32</v>
      </c>
      <c r="H8" t="inlineStr">
        <is>
          <t>(모델W)</t>
        </is>
      </c>
      <c r="I8" t="n">
        <v>3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/>
    </row>
    <row r="9">
      <c r="A9" t="inlineStr">
        <is>
          <t>C-158</t>
        </is>
      </c>
      <c r="B9" t="inlineStr">
        <is>
          <t>158µm</t>
        </is>
      </c>
      <c r="C9" t="n">
        <v>158</v>
      </c>
      <c r="D9" t="inlineStr">
        <is>
          <t>(모델kV*)</t>
        </is>
      </c>
      <c r="E9" t="inlineStr">
        <is>
          <t>(모델R)</t>
        </is>
      </c>
      <c r="F9">
        <f>IFERROR(ROUND(C9*0.2828/E9,0),"")</f>
        <v/>
      </c>
      <c r="G9" t="n">
        <v>32</v>
      </c>
      <c r="H9" t="inlineStr">
        <is>
          <t>(모델W)</t>
        </is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모델 산출값 검증</t>
        </is>
      </c>
      <c r="S9">
        <f>IFERROR(STDEV(M9:M11)/AVERAGE(M9:M11),"")</f>
        <v/>
      </c>
    </row>
    <row r="10">
      <c r="A10" t="inlineStr">
        <is>
          <t>C-158</t>
        </is>
      </c>
      <c r="B10" t="inlineStr">
        <is>
          <t>158µm</t>
        </is>
      </c>
      <c r="C10" t="n">
        <v>158</v>
      </c>
      <c r="D10" t="inlineStr">
        <is>
          <t>(모델kV*)</t>
        </is>
      </c>
      <c r="E10" t="inlineStr">
        <is>
          <t>(모델R)</t>
        </is>
      </c>
      <c r="F10">
        <f>IFERROR(ROUND(C10*0.2828/E10,0),"")</f>
        <v/>
      </c>
      <c r="G10" t="n">
        <v>32</v>
      </c>
      <c r="H10" t="inlineStr">
        <is>
          <t>(모델W)</t>
        </is>
      </c>
      <c r="I10" t="n">
        <v>2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/>
    </row>
    <row r="11">
      <c r="A11" t="inlineStr">
        <is>
          <t>C-158</t>
        </is>
      </c>
      <c r="B11" t="inlineStr">
        <is>
          <t>158µm</t>
        </is>
      </c>
      <c r="C11" t="n">
        <v>158</v>
      </c>
      <c r="D11" t="inlineStr">
        <is>
          <t>(모델kV*)</t>
        </is>
      </c>
      <c r="E11" t="inlineStr">
        <is>
          <t>(모델R)</t>
        </is>
      </c>
      <c r="F11">
        <f>IFERROR(ROUND(C11*0.2828/E11,0),"")</f>
        <v/>
      </c>
      <c r="G11" t="n">
        <v>32</v>
      </c>
      <c r="H11" t="inlineStr">
        <is>
          <t>(모델W)</t>
        </is>
      </c>
      <c r="I11" t="n">
        <v>3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/>
    </row>
  </sheetData>
  <mergeCells count="2">
    <mergeCell ref="A3:R3"/>
    <mergeCell ref="A2:R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역설계 모델 — 실험 채우면 계수 확정 → PD직경 D 입력 시 최적 파라미터 산출</t>
        </is>
      </c>
    </row>
    <row r="3">
      <c r="A3" s="4" t="inlineStr">
        <is>
          <t>■ 확정할 계수</t>
        </is>
      </c>
    </row>
    <row r="4">
      <c r="A4" s="1" t="inlineStr">
        <is>
          <t>kV 직경식</t>
        </is>
      </c>
      <c r="B4" s="2" t="inlineStr">
        <is>
          <t>측정직경/PD=1+s·(kV−kV0). Phase1로 s·kV*</t>
        </is>
      </c>
    </row>
    <row r="5">
      <c r="A5" s="1" t="inlineStr">
        <is>
          <t>N_target(R)</t>
        </is>
      </c>
      <c r="B5" s="2" t="inlineStr">
        <is>
          <t>Phase1 R스윕: gold 대비 |void편차| 7% 넘는 N(≈29). 단 26µm은 R하한으로 N37 고정→R0.2</t>
        </is>
      </c>
    </row>
    <row r="6">
      <c r="A6" s="1" t="inlineStr">
        <is>
          <t>σ(F)</t>
        </is>
      </c>
      <c r="B6" s="2" t="inlineStr">
        <is>
          <t>Phase2 F스윕: void% σ_rel≤3.5% 최소 F</t>
        </is>
      </c>
    </row>
    <row r="7">
      <c r="A7" s="1" t="inlineStr">
        <is>
          <t>W*(두꺼운)</t>
        </is>
      </c>
      <c r="B7" s="2" t="inlineStr">
        <is>
          <t>Phase2 W스윕: 깜빡임0·σ최소·블러가드. 얇은=4W</t>
        </is>
      </c>
    </row>
    <row r="8">
      <c r="A8" s="1" t="inlineStr">
        <is>
          <t>교호작용</t>
        </is>
      </c>
      <c r="B8" s="2" t="inlineStr">
        <is>
          <t>Phase3 kV×R·W×F 계수</t>
        </is>
      </c>
    </row>
    <row r="9">
      <c r="A9" s="1" t="inlineStr">
        <is>
          <t>tact</t>
        </is>
      </c>
      <c r="B9" s="2" t="inlineStr">
        <is>
          <t>tact=a·(shot수·F)+b. 26µm은 R고정→shot수·F로만 단축</t>
        </is>
      </c>
    </row>
    <row r="11">
      <c r="A11" s="4" t="inlineStr">
        <is>
          <t>■ 역설계 규칙 (PD직경 D → 파라미터)</t>
        </is>
      </c>
    </row>
    <row r="12">
      <c r="A12" s="1" t="inlineStr">
        <is>
          <t>입력</t>
        </is>
      </c>
      <c r="B12" s="2" t="inlineStr">
        <is>
          <t>PD직경 D, void임계 p(8%), (알면)높이 h</t>
        </is>
      </c>
    </row>
    <row r="13">
      <c r="A13" s="1" t="inlineStr">
        <is>
          <t>1) kV</t>
        </is>
      </c>
      <c r="B13" s="2" t="inlineStr">
        <is>
          <t>kV*(D)서 시작해 1kV씩 트림→측정직경=PD(100%)</t>
        </is>
      </c>
    </row>
    <row r="14">
      <c r="A14" s="1" t="inlineStr">
        <is>
          <t>2) R</t>
        </is>
      </c>
      <c r="B14" s="2" t="inlineStr">
        <is>
          <t>R=max(0.2, D·√p/N_target). 작은 범프는 0.2에 걸림</t>
        </is>
      </c>
    </row>
    <row r="15">
      <c r="A15" s="1" t="inlineStr">
        <is>
          <t>3) F</t>
        </is>
      </c>
      <c r="B15" s="2" t="inlineStr">
        <is>
          <t>σ(F)에서 σ_rel≤3.5% 최소 F</t>
        </is>
      </c>
    </row>
    <row r="16">
      <c r="A16" s="1" t="inlineStr">
        <is>
          <t>4) W</t>
        </is>
      </c>
      <c r="B16" s="2" t="inlineStr">
        <is>
          <t>얇으면 4W, 두꺼우면 W*(D). W↑로 F↓ 교환</t>
        </is>
      </c>
    </row>
    <row r="17">
      <c r="A17" s="1" t="inlineStr">
        <is>
          <t>5) 검증</t>
        </is>
      </c>
      <c r="B17" s="2" t="inlineStr">
        <is>
          <t>tact·합격기준 확인, 미달 시 해당 변수만 재조정</t>
        </is>
      </c>
    </row>
    <row r="19">
      <c r="A19" s="2" t="inlineStr">
        <is>
          <t>※ 확정 계수는 레시피모델.xlsx·파라미터_계산기.xlsx 보정계수·N_target에 옮겨 완성.</t>
        </is>
      </c>
    </row>
    <row r="20"/>
  </sheetData>
  <mergeCells count="13">
    <mergeCell ref="B8:H8"/>
    <mergeCell ref="B14:H14"/>
    <mergeCell ref="B17:H17"/>
    <mergeCell ref="B9:H9"/>
    <mergeCell ref="B13:H13"/>
    <mergeCell ref="B4:H4"/>
    <mergeCell ref="B12:H12"/>
    <mergeCell ref="B6:H6"/>
    <mergeCell ref="B16:H16"/>
    <mergeCell ref="B15:H15"/>
    <mergeCell ref="B7:H7"/>
    <mergeCell ref="A19:H20"/>
    <mergeCell ref="B5:H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2026-07-05T13:01:47Z</dcterms:created>
  <dcterms:modified xmlns:dcterms="http://purl.org/dc/terms/" xmlns:xsi="http://www.w3.org/2001/XMLSchema-instance" xsi:type="dcterms:W3CDTF">2026-07-05T13:01:47Z</dcterms:modified>
</cp:coreProperties>
</file>