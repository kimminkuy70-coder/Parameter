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[35런 최소판]</t>
        </is>
      </c>
    </row>
    <row r="2">
      <c r="A2" s="2" t="inlineStr">
        <is>
          <t>대원칙: 정확한 검사결과가 최우선 제약. 시간단축은 '정확도를 지키는 범위 안에서만' 한다(정확도를 시간과 바꾸지 않음).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4" t="inlineStr">
        <is>
          <t>PD로 확인한 실제 범프 직경. 자재 고유·고정(26·158µm). N 설계·자재 구분 기준.</t>
        </is>
      </c>
    </row>
    <row r="6">
      <c r="A6" s="1" t="inlineStr">
        <is>
          <t>② 측정직경 (종속변수)</t>
        </is>
      </c>
      <c r="B6" s="4" t="inlineStr">
        <is>
          <t>X-ray 검사 결과 직경. kV 등에 따라 변함. 목표는 PD직경의 100%(Q_dia).</t>
        </is>
      </c>
    </row>
    <row r="7">
      <c r="A7" s="3" t="inlineStr">
        <is>
          <t>■ void% 기준 = 측정 bump면적 (실제 .csv 확인)</t>
        </is>
      </c>
    </row>
    <row r="8">
      <c r="A8" s="4" t="inlineStr">
        <is>
          <t>XRA_VOID.csv: 범프 Area=π/4·(측정직경)² → void%=void면적÷측정면적. 측정직경=PD(Q_dia=100%)일 때만 성립 → kV 먼저 맞춤.</t>
        </is>
      </c>
    </row>
    <row r="9"/>
    <row r="11">
      <c r="A11" s="3" t="inlineStr">
        <is>
          <t>■ 정확도 정의 = void 총오차 ≤ 10% (픽셀화 ⊕ 노이즈, 제곱합) ★</t>
        </is>
      </c>
    </row>
    <row r="12">
      <c r="A12" s="4" t="inlineStr">
        <is>
          <t>총오차 = √( 평균편차² + (2σ)² ) ≤ 10%. 두 성분을 함께 만족해야 '정확'.</t>
        </is>
      </c>
    </row>
    <row r="13">
      <c r="A13" s="4" t="inlineStr">
        <is>
          <t>· 픽셀화(R): 2/N ≤ ~7% → N_target≈29 (여유 확보). ※ N=20은 픽셀화만으로 10%를 다 써 노이즈 더하면 초과=부정확 → 폐기. · 노이즈(F,W): 2σ ≤ ~7% → σ≤3.5%, Frame으로 확보(F≥32).</t>
        </is>
      </c>
    </row>
    <row r="14"/>
    <row r="15"/>
    <row r="17">
      <c r="A17" s="5" t="inlineStr">
        <is>
          <t>■ 시간단축 지렛대와 '정확도 한계'</t>
        </is>
      </c>
    </row>
    <row r="18">
      <c r="A18" s="1" t="inlineStr">
        <is>
          <t>R 크게=빠름</t>
        </is>
      </c>
      <c r="B18" s="4" t="inlineStr">
        <is>
          <t>N29 주는 R까지만 (26µm 0.25·158µm 1.5). 더 키우면 픽셀화 초과=부정확</t>
        </is>
      </c>
    </row>
    <row r="19">
      <c r="A19" s="1" t="inlineStr">
        <is>
          <t>F 작게=빠름</t>
        </is>
      </c>
      <c r="B19" s="4" t="inlineStr">
        <is>
          <t>σ 지키는 F까지만 (장비 하한 32). 더 낮추면 노이즈 초과=부정확</t>
        </is>
      </c>
    </row>
    <row r="20">
      <c r="A20" s="1" t="inlineStr">
        <is>
          <t>shot 적게=빠름</t>
        </is>
      </c>
      <c r="B20" s="4" t="inlineStr">
        <is>
          <t>per-bump 측정과 무관 → 정확도 안전한 지렛대. 단 표본수·타일 일관성 유지</t>
        </is>
      </c>
    </row>
    <row r="21">
      <c r="A21" s="1" t="inlineStr">
        <is>
          <t>W (두꺼운)</t>
        </is>
      </c>
      <c r="B21" s="4" t="inlineStr">
        <is>
          <t>블러(경계폭)·Q_dia 가드 지키는 선에서만</t>
        </is>
      </c>
    </row>
    <row r="23">
      <c r="A23" s="5" t="inlineStr">
        <is>
          <t>■ 자재별 결론</t>
        </is>
      </c>
    </row>
    <row r="24">
      <c r="A24" s="4" t="inlineStr">
        <is>
          <t>· 26µm: 정확도가 R(0.2~0.25)·F(≥32)를 거의 고정 → 시간여유 적음. 그래도 정확도 우선이라 그대로 감. 남은 안전한 시간지렛대는 shot(검사범프)수. · 158µm: R(1.5)·F에 여유 있어 시간최적 폭 큼.</t>
        </is>
      </c>
    </row>
    <row r="25"/>
    <row r="26"/>
    <row r="28">
      <c r="A28" s="3" t="inlineStr">
        <is>
          <t>■ 35런이 55런 대비 줄인 것</t>
        </is>
      </c>
    </row>
    <row r="29">
      <c r="A29" s="4" t="inlineStr">
        <is>
          <t>kV 3→2점 · F 32·64 2점 · W 4→2점 · 교호작용 반복 제거·W×F 4→3셀. 핵심 골격 유지.</t>
        </is>
      </c>
    </row>
    <row r="30"/>
  </sheetData>
  <mergeCells count="15">
    <mergeCell ref="A12:H12"/>
    <mergeCell ref="A4:H4"/>
    <mergeCell ref="B18:H18"/>
    <mergeCell ref="A7:H7"/>
    <mergeCell ref="B19:H19"/>
    <mergeCell ref="B21:H21"/>
    <mergeCell ref="A2:H2"/>
    <mergeCell ref="A29:H30"/>
    <mergeCell ref="A24:H26"/>
    <mergeCell ref="B6:H6"/>
    <mergeCell ref="A11:H11"/>
    <mergeCell ref="A13:H15"/>
    <mergeCell ref="B5:H5"/>
    <mergeCell ref="B20:H20"/>
    <mergeCell ref="A8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4" customWidth="1" min="18" max="18"/>
  </cols>
  <sheetData>
    <row r="1">
      <c r="A1" s="1" t="inlineStr">
        <is>
          <t>Phase1_주효과_kV·R</t>
        </is>
      </c>
    </row>
    <row r="2">
      <c r="A2" s="6" t="inlineStr">
        <is>
          <t>직경 다이얼(kV)·void 픽셀화(R). gold=기준 앵커. N_target≈29(총오차 예산). 고정 F32·W4.</t>
        </is>
      </c>
    </row>
    <row r="3">
      <c r="A3" s="4" t="inlineStr">
        <is>
          <t>정확도=총오차≤10%(픽셀화⊕노이즈). N_target≈29 · R≥0.2 · F≥32. D=PD직경(독립)/측정직경=종속/void%=장비출력(측정면적).</t>
        </is>
      </c>
    </row>
    <row r="5">
      <c r="A5" s="7" t="inlineStr">
        <is>
          <t>Run</t>
        </is>
      </c>
      <c r="B5" s="7" t="inlineStr">
        <is>
          <t>자재</t>
        </is>
      </c>
      <c r="C5" s="7" t="inlineStr">
        <is>
          <t>PD직경 D(µm)</t>
        </is>
      </c>
      <c r="D5" s="7" t="inlineStr">
        <is>
          <t>kV</t>
        </is>
      </c>
      <c r="E5" s="7" t="inlineStr">
        <is>
          <t>R(µm/px)</t>
        </is>
      </c>
      <c r="F5" s="7" t="inlineStr">
        <is>
          <t>N(자동)</t>
        </is>
      </c>
      <c r="G5" s="7" t="inlineStr">
        <is>
          <t>F</t>
        </is>
      </c>
      <c r="H5" s="7" t="inlineStr">
        <is>
          <t>W</t>
        </is>
      </c>
      <c r="I5" s="7" t="inlineStr">
        <is>
          <t>반복#</t>
        </is>
      </c>
      <c r="J5" s="7" t="inlineStr">
        <is>
          <t>측정직경(µm)</t>
        </is>
      </c>
      <c r="K5" s="7" t="inlineStr">
        <is>
          <t>Q_dia(자동)=측정÷PD</t>
        </is>
      </c>
      <c r="L5" s="7" t="inlineStr">
        <is>
          <t>매칭(Y/N)</t>
        </is>
      </c>
      <c r="M5" s="7" t="inlineStr">
        <is>
          <t>void%(측정,장비값)</t>
        </is>
      </c>
      <c r="N5" s="7" t="inlineStr">
        <is>
          <t>기준gold void%</t>
        </is>
      </c>
      <c r="O5" s="7" t="inlineStr">
        <is>
          <t>void편차%(자동)</t>
        </is>
      </c>
      <c r="P5" s="7" t="inlineStr">
        <is>
          <t>판정(자동)</t>
        </is>
      </c>
      <c r="Q5" s="7" t="inlineStr">
        <is>
          <t>tact(초)</t>
        </is>
      </c>
      <c r="R5" s="7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59.5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158µm</t>
        </is>
      </c>
      <c r="C8" t="n">
        <v>158</v>
      </c>
      <c r="D8" t="n">
        <v>58.5</v>
      </c>
      <c r="E8" t="n">
        <v>0.77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158µm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62.5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R1</t>
        </is>
      </c>
      <c r="B10" t="inlineStr">
        <is>
          <t>26µm</t>
        </is>
      </c>
      <c r="C10" t="n">
        <v>26</v>
      </c>
      <c r="D10" t="n">
        <v>57.5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N≈37 =gold</t>
        </is>
      </c>
    </row>
    <row r="11">
      <c r="A11" t="inlineStr">
        <is>
          <t>R2</t>
        </is>
      </c>
      <c r="B11" t="inlineStr">
        <is>
          <t>26µm</t>
        </is>
      </c>
      <c r="C11" t="n">
        <v>26</v>
      </c>
      <c r="D11" t="n">
        <v>57.5</v>
      </c>
      <c r="E11" t="n">
        <v>0.25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N≈29 =운영(N29)</t>
        </is>
      </c>
    </row>
    <row r="12">
      <c r="A12" t="inlineStr">
        <is>
          <t>R3</t>
        </is>
      </c>
      <c r="B12" t="inlineStr">
        <is>
          <t>26µm</t>
        </is>
      </c>
      <c r="C12" t="n">
        <v>26</v>
      </c>
      <c r="D12" t="n">
        <v>57.5</v>
      </c>
      <c r="E12" t="n">
        <v>0.5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N≈15</t>
        </is>
      </c>
    </row>
    <row r="13">
      <c r="A13" t="inlineStr">
        <is>
          <t>R4</t>
        </is>
      </c>
      <c r="B13" t="inlineStr">
        <is>
          <t>158µm</t>
        </is>
      </c>
      <c r="C13" t="n">
        <v>158</v>
      </c>
      <c r="D13" t="n">
        <v>60.5</v>
      </c>
      <c r="E13" t="n">
        <v>0.77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N≈58 =gold</t>
        </is>
      </c>
    </row>
    <row r="14">
      <c r="A14" t="inlineStr">
        <is>
          <t>R5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N≈30 =운영(N29)</t>
        </is>
      </c>
    </row>
    <row r="15">
      <c r="A15" t="inlineStr">
        <is>
          <t>R6</t>
        </is>
      </c>
      <c r="B15" t="inlineStr">
        <is>
          <t>158µm</t>
        </is>
      </c>
      <c r="C15" t="n">
        <v>158</v>
      </c>
      <c r="D15" t="n">
        <v>60.5</v>
      </c>
      <c r="E15" t="n">
        <v>3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N≈15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4" customWidth="1" min="18" max="18"/>
    <col width="14" customWidth="1" min="19" max="19"/>
    <col width="17" customWidth="1" min="20" max="20"/>
  </cols>
  <sheetData>
    <row r="1">
      <c r="A1" s="1" t="inlineStr">
        <is>
          <t>Phase2_재현성_F·W</t>
        </is>
      </c>
    </row>
    <row r="2">
      <c r="A2" s="6" t="inlineStr">
        <is>
          <t>같은 범프 반복→void% σ(노이즈). 총오차=√(편차²+(2σ)²)≤10% 확인. 26µm=F스윕(R0.25·W4), 158µm=W스윕(R1.5·F32). F≥32.</t>
        </is>
      </c>
    </row>
    <row r="3">
      <c r="A3" s="4" t="inlineStr">
        <is>
          <t>정확도=총오차≤10%(픽셀화⊕노이즈). N_target≈29 · R≥0.2 · F≥32. D=PD직경(독립)/측정직경=종속/void%=장비출력(측정면적).</t>
        </is>
      </c>
    </row>
    <row r="5">
      <c r="A5" s="7" t="inlineStr">
        <is>
          <t>Run</t>
        </is>
      </c>
      <c r="B5" s="7" t="inlineStr">
        <is>
          <t>자재</t>
        </is>
      </c>
      <c r="C5" s="7" t="inlineStr">
        <is>
          <t>PD직경 D(µm)</t>
        </is>
      </c>
      <c r="D5" s="7" t="inlineStr">
        <is>
          <t>kV</t>
        </is>
      </c>
      <c r="E5" s="7" t="inlineStr">
        <is>
          <t>R(µm/px)</t>
        </is>
      </c>
      <c r="F5" s="7" t="inlineStr">
        <is>
          <t>N(자동)</t>
        </is>
      </c>
      <c r="G5" s="7" t="inlineStr">
        <is>
          <t>F</t>
        </is>
      </c>
      <c r="H5" s="7" t="inlineStr">
        <is>
          <t>W</t>
        </is>
      </c>
      <c r="I5" s="7" t="inlineStr">
        <is>
          <t>반복#</t>
        </is>
      </c>
      <c r="J5" s="7" t="inlineStr">
        <is>
          <t>측정직경(µm)</t>
        </is>
      </c>
      <c r="K5" s="7" t="inlineStr">
        <is>
          <t>Q_dia(자동)=측정÷PD</t>
        </is>
      </c>
      <c r="L5" s="7" t="inlineStr">
        <is>
          <t>매칭(Y/N)</t>
        </is>
      </c>
      <c r="M5" s="7" t="inlineStr">
        <is>
          <t>void%(측정,장비값)</t>
        </is>
      </c>
      <c r="N5" s="7" t="inlineStr">
        <is>
          <t>기준gold void%</t>
        </is>
      </c>
      <c r="O5" s="7" t="inlineStr">
        <is>
          <t>void편차%(자동)</t>
        </is>
      </c>
      <c r="P5" s="7" t="inlineStr">
        <is>
          <t>판정(자동)</t>
        </is>
      </c>
      <c r="Q5" s="7" t="inlineStr">
        <is>
          <t>tact(초)</t>
        </is>
      </c>
      <c r="R5" s="7" t="inlineStr">
        <is>
          <t>메모</t>
        </is>
      </c>
      <c r="S5" s="7" t="inlineStr">
        <is>
          <t>void%σ_rel(자동)</t>
        </is>
      </c>
      <c r="T5" s="7" t="inlineStr">
        <is>
          <t>총오차_rel(자동)≤0.10</t>
        </is>
      </c>
    </row>
    <row r="6">
      <c r="A6" t="inlineStr">
        <is>
          <t>F32</t>
        </is>
      </c>
      <c r="B6" t="inlineStr">
        <is>
          <t>26µm</t>
        </is>
      </c>
      <c r="C6" t="n">
        <v>26</v>
      </c>
      <c r="D6" t="n">
        <v>57.5</v>
      </c>
      <c r="E6" t="n">
        <v>0.25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F=32 재현성·총오차</t>
        </is>
      </c>
      <c r="S6">
        <f>IFERROR(STDEV(M6:M8)/AVERAGE(M6:M8),"")</f>
        <v/>
      </c>
      <c r="T6">
        <f>IFERROR(SQRT(((AVERAGE(M6:M8)-N6)/N6)^2+(2*STDEV(M6:M8)/AVERAGE(M6:M8))^2),"")</f>
        <v/>
      </c>
    </row>
    <row r="7">
      <c r="A7" t="inlineStr">
        <is>
          <t>F32</t>
        </is>
      </c>
      <c r="B7" t="inlineStr">
        <is>
          <t>26µm</t>
        </is>
      </c>
      <c r="C7" t="n">
        <v>26</v>
      </c>
      <c r="D7" t="n">
        <v>57.5</v>
      </c>
      <c r="E7" t="n">
        <v>0.25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F32</t>
        </is>
      </c>
      <c r="B8" t="inlineStr">
        <is>
          <t>26µm</t>
        </is>
      </c>
      <c r="C8" t="n">
        <v>26</v>
      </c>
      <c r="D8" t="n">
        <v>57.5</v>
      </c>
      <c r="E8" t="n">
        <v>0.25</v>
      </c>
      <c r="F8">
        <f>IFERROR(ROUND(C8*0.2828/E8,0),"")</f>
        <v/>
      </c>
      <c r="G8" t="n">
        <v>32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F64</t>
        </is>
      </c>
      <c r="B9" t="inlineStr">
        <is>
          <t>26µm</t>
        </is>
      </c>
      <c r="C9" t="n">
        <v>26</v>
      </c>
      <c r="D9" t="n">
        <v>57.5</v>
      </c>
      <c r="E9" t="n">
        <v>0.25</v>
      </c>
      <c r="F9">
        <f>IFERROR(ROUND(C9*0.2828/E9,0),"")</f>
        <v/>
      </c>
      <c r="G9" t="n">
        <v>64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F=64 재현성·총오차</t>
        </is>
      </c>
      <c r="S9">
        <f>IFERROR(STDEV(M9:M11)/AVERAGE(M9:M11),"")</f>
        <v/>
      </c>
      <c r="T9">
        <f>IFERROR(SQRT(((AVERAGE(M9:M11)-N9)/N9)^2+(2*STDEV(M9:M11)/AVERAGE(M9:M11))^2),"")</f>
        <v/>
      </c>
    </row>
    <row r="10">
      <c r="A10" t="inlineStr">
        <is>
          <t>F64</t>
        </is>
      </c>
      <c r="B10" t="inlineStr">
        <is>
          <t>26µm</t>
        </is>
      </c>
      <c r="C10" t="n">
        <v>26</v>
      </c>
      <c r="D10" t="n">
        <v>57.5</v>
      </c>
      <c r="E10" t="n">
        <v>0.25</v>
      </c>
      <c r="F10">
        <f>IFERROR(ROUND(C10*0.2828/E10,0),"")</f>
        <v/>
      </c>
      <c r="G10" t="n">
        <v>64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F64</t>
        </is>
      </c>
      <c r="B11" t="inlineStr">
        <is>
          <t>26µm</t>
        </is>
      </c>
      <c r="C11" t="n">
        <v>26</v>
      </c>
      <c r="D11" t="n">
        <v>57.5</v>
      </c>
      <c r="E11" t="n">
        <v>0.25</v>
      </c>
      <c r="F11">
        <f>IFERROR(ROUND(C11*0.2828/E11,0),"")</f>
        <v/>
      </c>
      <c r="G11" t="n">
        <v>64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W4</t>
        </is>
      </c>
      <c r="B12" t="inlineStr">
        <is>
          <t>158µm</t>
        </is>
      </c>
      <c r="C12" t="n">
        <v>158</v>
      </c>
      <c r="D12" t="n">
        <v>60.5</v>
      </c>
      <c r="E12" t="n">
        <v>1.5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W=4 재현성·깜빡임</t>
        </is>
      </c>
      <c r="S12">
        <f>IFERROR(STDEV(M12:M14)/AVERAGE(M12:M14),"")</f>
        <v/>
      </c>
      <c r="T12">
        <f>IFERROR(SQRT(((AVERAGE(M12:M14)-N12)/N12)^2+(2*STDEV(M12:M14)/AVERAGE(M12:M14))^2),"")</f>
        <v/>
      </c>
    </row>
    <row r="13">
      <c r="A13" t="inlineStr">
        <is>
          <t>W4</t>
        </is>
      </c>
      <c r="B13" t="inlineStr">
        <is>
          <t>158µm</t>
        </is>
      </c>
      <c r="C13" t="n">
        <v>158</v>
      </c>
      <c r="D13" t="n">
        <v>60.5</v>
      </c>
      <c r="E13" t="n">
        <v>1.5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W4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32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W6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32</v>
      </c>
      <c r="H15" t="n">
        <v>6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W=6 재현성·깜빡임</t>
        </is>
      </c>
      <c r="S15">
        <f>IFERROR(STDEV(M15:M17)/AVERAGE(M15:M17),"")</f>
        <v/>
      </c>
      <c r="T15">
        <f>IFERROR(SQRT(((AVERAGE(M15:M17)-N15)/N15)^2+(2*STDEV(M15:M17)/AVERAGE(M15:M17))^2),"")</f>
        <v/>
      </c>
    </row>
    <row r="16">
      <c r="A16" t="inlineStr">
        <is>
          <t>W6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6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W6</t>
        </is>
      </c>
      <c r="B17" t="inlineStr">
        <is>
          <t>158µm</t>
        </is>
      </c>
      <c r="C17" t="n">
        <v>158</v>
      </c>
      <c r="D17" t="n">
        <v>60.5</v>
      </c>
      <c r="E17" t="n">
        <v>1.5</v>
      </c>
      <c r="F17">
        <f>IFERROR(ROUND(C17*0.2828/E17,0),"")</f>
        <v/>
      </c>
      <c r="G17" t="n">
        <v>32</v>
      </c>
      <c r="H17" t="n">
        <v>6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4" customWidth="1" min="18" max="18"/>
  </cols>
  <sheetData>
    <row r="1">
      <c r="A1" s="1" t="inlineStr">
        <is>
          <t>Phase3_교호작용</t>
        </is>
      </c>
    </row>
    <row r="2">
      <c r="A2" s="6" t="inlineStr">
        <is>
          <t>kV×R(26µm): 대비bias×픽셀화 / W×F(158µm): SNR∝√(W·F) 교환(F≥32). ×D는 두 자재.</t>
        </is>
      </c>
    </row>
    <row r="3">
      <c r="A3" s="4" t="inlineStr">
        <is>
          <t>정확도=총오차≤10%(픽셀화⊕노이즈). N_target≈29 · R≥0.2 · F≥32. D=PD직경(독립)/측정직경=종속/void%=장비출력(측정면적).</t>
        </is>
      </c>
    </row>
    <row r="5">
      <c r="A5" s="7" t="inlineStr">
        <is>
          <t>Run</t>
        </is>
      </c>
      <c r="B5" s="7" t="inlineStr">
        <is>
          <t>자재</t>
        </is>
      </c>
      <c r="C5" s="7" t="inlineStr">
        <is>
          <t>PD직경 D(µm)</t>
        </is>
      </c>
      <c r="D5" s="7" t="inlineStr">
        <is>
          <t>kV</t>
        </is>
      </c>
      <c r="E5" s="7" t="inlineStr">
        <is>
          <t>R(µm/px)</t>
        </is>
      </c>
      <c r="F5" s="7" t="inlineStr">
        <is>
          <t>N(자동)</t>
        </is>
      </c>
      <c r="G5" s="7" t="inlineStr">
        <is>
          <t>F</t>
        </is>
      </c>
      <c r="H5" s="7" t="inlineStr">
        <is>
          <t>W</t>
        </is>
      </c>
      <c r="I5" s="7" t="inlineStr">
        <is>
          <t>반복#</t>
        </is>
      </c>
      <c r="J5" s="7" t="inlineStr">
        <is>
          <t>측정직경(µm)</t>
        </is>
      </c>
      <c r="K5" s="7" t="inlineStr">
        <is>
          <t>Q_dia(자동)=측정÷PD</t>
        </is>
      </c>
      <c r="L5" s="7" t="inlineStr">
        <is>
          <t>매칭(Y/N)</t>
        </is>
      </c>
      <c r="M5" s="7" t="inlineStr">
        <is>
          <t>void%(측정,장비값)</t>
        </is>
      </c>
      <c r="N5" s="7" t="inlineStr">
        <is>
          <t>기준gold void%</t>
        </is>
      </c>
      <c r="O5" s="7" t="inlineStr">
        <is>
          <t>void편차%(자동)</t>
        </is>
      </c>
      <c r="P5" s="7" t="inlineStr">
        <is>
          <t>판정(자동)</t>
        </is>
      </c>
      <c r="Q5" s="7" t="inlineStr">
        <is>
          <t>tact(초)</t>
        </is>
      </c>
      <c r="R5" s="7" t="inlineStr">
        <is>
          <t>메모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kV55.5×R0.2(N37)</t>
        </is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0.5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kV55.5×R0.5(N15)</t>
        </is>
      </c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59.5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kV59.5×R0.2(N37)</t>
        </is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59.5</v>
      </c>
      <c r="E9" t="n">
        <v>0.5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kV59.5×R0.5(N15)</t>
        </is>
      </c>
    </row>
    <row r="10">
      <c r="A10" t="inlineStr">
        <is>
          <t>WF</t>
        </is>
      </c>
      <c r="B10" t="inlineStr">
        <is>
          <t>158µm</t>
        </is>
      </c>
      <c r="C10" t="n">
        <v>158</v>
      </c>
      <c r="D10" t="n">
        <v>60.5</v>
      </c>
      <c r="E10" t="n">
        <v>1.5</v>
      </c>
      <c r="F10">
        <f>IFERROR(ROUND(C10*0.2828/E10,0),"")</f>
        <v/>
      </c>
      <c r="G10" t="n">
        <v>64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W4×F64(기준(고프레임))</t>
        </is>
      </c>
    </row>
    <row r="11">
      <c r="A11" t="inlineStr">
        <is>
          <t>WF</t>
        </is>
      </c>
      <c r="B11" t="inlineStr">
        <is>
          <t>158µm</t>
        </is>
      </c>
      <c r="C11" t="n">
        <v>158</v>
      </c>
      <c r="D11" t="n">
        <v>60.5</v>
      </c>
      <c r="E11" t="n">
        <v>1.5</v>
      </c>
      <c r="F11">
        <f>IFERROR(ROUND(C11*0.2828/E11,0),"")</f>
        <v/>
      </c>
      <c r="G11" t="n">
        <v>64</v>
      </c>
      <c r="H11" t="n">
        <v>6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W6×F64(W효과(동일F))</t>
        </is>
      </c>
    </row>
    <row r="12">
      <c r="A12" t="inlineStr">
        <is>
          <t>WF</t>
        </is>
      </c>
      <c r="B12" t="inlineStr">
        <is>
          <t>158µm</t>
        </is>
      </c>
      <c r="C12" t="n">
        <v>158</v>
      </c>
      <c r="D12" t="n">
        <v>60.5</v>
      </c>
      <c r="E12" t="n">
        <v>1.5</v>
      </c>
      <c r="F12">
        <f>IFERROR(ROUND(C12*0.2828/E12,0),"")</f>
        <v/>
      </c>
      <c r="G12" t="n">
        <v>32</v>
      </c>
      <c r="H12" t="n">
        <v>6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W6×F32(F교환:6W로 64→32?)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4" customWidth="1" min="18" max="18"/>
    <col width="14" customWidth="1" min="19" max="19"/>
    <col width="17" customWidth="1" min="20" max="20"/>
  </cols>
  <sheetData>
    <row r="1">
      <c r="A1" s="1" t="inlineStr">
        <is>
          <t>Phase4_확인</t>
        </is>
      </c>
    </row>
    <row r="2">
      <c r="A2" s="6" t="inlineStr">
        <is>
          <t>모델 산출 (kV,R,F,W)로 자재별 ×3반복. 합격: 매칭Y &amp; Q_dia97~103% &amp; 총오차_rel≤10%(정확도) &amp; tact 최소.</t>
        </is>
      </c>
    </row>
    <row r="3">
      <c r="A3" s="4" t="inlineStr">
        <is>
          <t>정확도=총오차≤10%(픽셀화⊕노이즈). N_target≈29 · R≥0.2 · F≥32. D=PD직경(독립)/측정직경=종속/void%=장비출력(측정면적).</t>
        </is>
      </c>
    </row>
    <row r="5">
      <c r="A5" s="7" t="inlineStr">
        <is>
          <t>Run</t>
        </is>
      </c>
      <c r="B5" s="7" t="inlineStr">
        <is>
          <t>자재</t>
        </is>
      </c>
      <c r="C5" s="7" t="inlineStr">
        <is>
          <t>PD직경 D(µm)</t>
        </is>
      </c>
      <c r="D5" s="7" t="inlineStr">
        <is>
          <t>kV</t>
        </is>
      </c>
      <c r="E5" s="7" t="inlineStr">
        <is>
          <t>R(µm/px)</t>
        </is>
      </c>
      <c r="F5" s="7" t="inlineStr">
        <is>
          <t>N(자동)</t>
        </is>
      </c>
      <c r="G5" s="7" t="inlineStr">
        <is>
          <t>F</t>
        </is>
      </c>
      <c r="H5" s="7" t="inlineStr">
        <is>
          <t>W</t>
        </is>
      </c>
      <c r="I5" s="7" t="inlineStr">
        <is>
          <t>반복#</t>
        </is>
      </c>
      <c r="J5" s="7" t="inlineStr">
        <is>
          <t>측정직경(µm)</t>
        </is>
      </c>
      <c r="K5" s="7" t="inlineStr">
        <is>
          <t>Q_dia(자동)=측정÷PD</t>
        </is>
      </c>
      <c r="L5" s="7" t="inlineStr">
        <is>
          <t>매칭(Y/N)</t>
        </is>
      </c>
      <c r="M5" s="7" t="inlineStr">
        <is>
          <t>void%(측정,장비값)</t>
        </is>
      </c>
      <c r="N5" s="7" t="inlineStr">
        <is>
          <t>기준gold void%</t>
        </is>
      </c>
      <c r="O5" s="7" t="inlineStr">
        <is>
          <t>void편차%(자동)</t>
        </is>
      </c>
      <c r="P5" s="7" t="inlineStr">
        <is>
          <t>판정(자동)</t>
        </is>
      </c>
      <c r="Q5" s="7" t="inlineStr">
        <is>
          <t>tact(초)</t>
        </is>
      </c>
      <c r="R5" s="7" t="inlineStr">
        <is>
          <t>메모</t>
        </is>
      </c>
      <c r="S5" s="7" t="inlineStr">
        <is>
          <t>void%σ_rel(자동)</t>
        </is>
      </c>
      <c r="T5" s="7" t="inlineStr">
        <is>
          <t>총오차_rel(자동)≤0.10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(모델R≈0.25)</t>
        </is>
      </c>
      <c r="F6">
        <f>IFERROR(ROUND(C6*0.2828/E6,0),"")</f>
        <v/>
      </c>
      <c r="G6" t="inlineStr">
        <is>
          <t>(모델F≥32)</t>
        </is>
      </c>
      <c r="H6" t="inlineStr">
        <is>
          <t>(모델W)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정확도(총오차≤10%) 확인</t>
        </is>
      </c>
      <c r="S6">
        <f>IFERROR(STDEV(M6:M8)/AVERAGE(M6:M8),"")</f>
        <v/>
      </c>
      <c r="T6">
        <f>IFERROR(SQRT(((AVERAGE(M6:M8)-N6)/N6)^2+(2*STDEV(M6:M8)/AVERAGE(M6:M8))^2),"")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(모델R≈0.25)</t>
        </is>
      </c>
      <c r="F7">
        <f>IFERROR(ROUND(C7*0.2828/E7,0),"")</f>
        <v/>
      </c>
      <c r="G7" t="inlineStr">
        <is>
          <t>(모델F≥32)</t>
        </is>
      </c>
      <c r="H7" t="inlineStr">
        <is>
          <t>(모델W)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(모델R≈0.25)</t>
        </is>
      </c>
      <c r="F8">
        <f>IFERROR(ROUND(C8*0.2828/E8,0),"")</f>
        <v/>
      </c>
      <c r="G8" t="inlineStr">
        <is>
          <t>(모델F≥32)</t>
        </is>
      </c>
      <c r="H8" t="inlineStr">
        <is>
          <t>(모델W)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(모델R≈1.5)</t>
        </is>
      </c>
      <c r="F9">
        <f>IFERROR(ROUND(C9*0.2828/E9,0),"")</f>
        <v/>
      </c>
      <c r="G9" t="inlineStr">
        <is>
          <t>(모델F≥32)</t>
        </is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정확도(총오차≤10%) 확인</t>
        </is>
      </c>
      <c r="S9">
        <f>IFERROR(STDEV(M9:M11)/AVERAGE(M9:M11),"")</f>
        <v/>
      </c>
      <c r="T9">
        <f>IFERROR(SQRT(((AVERAGE(M9:M11)-N9)/N9)^2+(2*STDEV(M9:M11)/AVERAGE(M9:M11))^2),"")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(모델R≈1.5)</t>
        </is>
      </c>
      <c r="F10">
        <f>IFERROR(ROUND(C10*0.2828/E10,0),"")</f>
        <v/>
      </c>
      <c r="G10" t="inlineStr">
        <is>
          <t>(모델F≥32)</t>
        </is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(모델R≈1.5)</t>
        </is>
      </c>
      <c r="F11">
        <f>IFERROR(ROUND(C11*0.2828/E11,0),"")</f>
        <v/>
      </c>
      <c r="G11" t="inlineStr">
        <is>
          <t>(모델F≥32)</t>
        </is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정확도(총오차≤10%) 만족 설정 중 최소 tact 선택</t>
        </is>
      </c>
    </row>
    <row r="3">
      <c r="A3" s="5" t="inlineStr">
        <is>
          <t>■ 확정할 계수</t>
        </is>
      </c>
    </row>
    <row r="4">
      <c r="A4" s="1" t="inlineStr">
        <is>
          <t>kV 직경식</t>
        </is>
      </c>
      <c r="B4" s="4" t="inlineStr">
        <is>
          <t>측정직경/PD=1+s·(kV−kV0). Phase1로 s·kV*</t>
        </is>
      </c>
    </row>
    <row r="5">
      <c r="A5" s="1" t="inlineStr">
        <is>
          <t>N_target</t>
        </is>
      </c>
      <c r="B5" s="4" t="inlineStr">
        <is>
          <t>총오차 예산: 2/N≤~7% → N≈29. Phase1 R스윕·Phase2 σ로 정밀화(총오차≤10% 되는 최대 R)</t>
        </is>
      </c>
    </row>
    <row r="6">
      <c r="A6" s="1" t="inlineStr">
        <is>
          <t>σ(F)</t>
        </is>
      </c>
      <c r="B6" s="4" t="inlineStr">
        <is>
          <t>Phase2 F스윕: 2σ≤~7%(σ≤3.5%) 되는 최소 Frame(≥32)</t>
        </is>
      </c>
    </row>
    <row r="7">
      <c r="A7" s="1" t="inlineStr">
        <is>
          <t>W*(두꺼운)</t>
        </is>
      </c>
      <c r="B7" s="4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4" t="inlineStr">
        <is>
          <t>Phase3 kV×R·W×F 계수</t>
        </is>
      </c>
    </row>
    <row r="9">
      <c r="A9" s="1" t="inlineStr">
        <is>
          <t>tact</t>
        </is>
      </c>
      <c r="B9" s="4" t="inlineStr">
        <is>
          <t>tact=a·(shot수·F)+b. 정확도 만족 설정 안에서만 최소화</t>
        </is>
      </c>
    </row>
    <row r="11">
      <c r="A11" s="5" t="inlineStr">
        <is>
          <t>■ 역설계 규칙 (정확도 우선 → 그 안에서 시간최소)</t>
        </is>
      </c>
    </row>
    <row r="12">
      <c r="A12" s="1" t="inlineStr">
        <is>
          <t>입력</t>
        </is>
      </c>
      <c r="B12" s="4" t="inlineStr">
        <is>
          <t>PD직경 D, void임계 p(8%), (알면)높이 h</t>
        </is>
      </c>
    </row>
    <row r="13">
      <c r="A13" s="1" t="inlineStr">
        <is>
          <t>1) kV</t>
        </is>
      </c>
      <c r="B13" s="4" t="inlineStr">
        <is>
          <t>kV*(D)서 시작 1kV씩 트림→측정직경=PD(100%)</t>
        </is>
      </c>
    </row>
    <row r="14">
      <c r="A14" s="1" t="inlineStr">
        <is>
          <t>2) R</t>
        </is>
      </c>
      <c r="B14" s="4" t="inlineStr">
        <is>
          <t>정확도 한계 내 최대 R = min(D√p/N_target, 총오차≤10% 되는 R). 26µm≈0.25·158µm≈1.5, R≥0.2</t>
        </is>
      </c>
    </row>
    <row r="15">
      <c r="A15" s="1" t="inlineStr">
        <is>
          <t>3) F</t>
        </is>
      </c>
      <c r="B15" s="4" t="inlineStr">
        <is>
          <t>σ≤목표 되는 최소 F(≥32)</t>
        </is>
      </c>
    </row>
    <row r="16">
      <c r="A16" s="1" t="inlineStr">
        <is>
          <t>4) W</t>
        </is>
      </c>
      <c r="B16" s="4" t="inlineStr">
        <is>
          <t>얇으면 4W, 두꺼우면 W*(D). 블러 가드 내에서 W↑로 F↓ 교환</t>
        </is>
      </c>
    </row>
    <row r="17">
      <c r="A17" s="1" t="inlineStr">
        <is>
          <t>5) 검증</t>
        </is>
      </c>
      <c r="B17" s="4" t="inlineStr">
        <is>
          <t>총오차≤10% &amp; 매칭 &amp; Q_dia 확인 후 tact 계산. 미달이면 정확도 우선으로 R↓·F↑</t>
        </is>
      </c>
    </row>
    <row r="19">
      <c r="A19" s="4" t="inlineStr">
        <is>
          <t>※ 정확도가 설정을 고정하면 시간여유가 적어도 그대로 둔다(정확도&gt;시간). 확정 계수는 레시피모델·계산기에 반영.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2026-07-05T14:36:03Z</dcterms:created>
  <dcterms:modified xmlns:dcterms="http://purl.org/dc/terms/" xmlns:xsi="http://www.w3.org/2001/XMLSchema-instance" xsi:type="dcterms:W3CDTF">2026-07-05T14:36:03Z</dcterms:modified>
</cp:coreProperties>
</file>