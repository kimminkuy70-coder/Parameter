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[35런 최소판]</t>
        </is>
      </c>
    </row>
    <row r="2">
      <c r="A2" s="2" t="inlineStr">
        <is>
          <t>목표: 모델 구축 시 [PD직경 D 입력] → [최적 kV·R·F·W 자동 결정] 으로 측정직경=100%·void 면적오차≤ε·검사시간 최소.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고유·고정(26·158µm). N 설계·자재 구분의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3" t="inlineStr">
        <is>
          <t>■ void% 기준 = '측정 bump면적' (실제 .csv 확인)</t>
        </is>
      </c>
    </row>
    <row r="8">
      <c r="A8" s="2" t="inlineStr">
        <is>
          <t>XRA_VOID.csv 검증: 각 범프 Area = π/4·(측정직경)² 로 정확히 일치(오차 0.00). 즉 장비는 void%를 'void면적 ÷ 측정 bump면적'으로 계산하고 8% 판정도 여기에 적용. → 이 런시트는 장비가 출력한 void%를 그대로 입력(M열). 측정직경이 kV로 변하면 분모(측정면적)도 함께 변하지만, 운영점은 측정직경=PD(Q_dia=100%)라 그 지점에선 측정면적=PD면적.</t>
        </is>
      </c>
    </row>
    <row r="9"/>
    <row r="10"/>
    <row r="11"/>
    <row r="13">
      <c r="A13" s="4" t="inlineStr">
        <is>
          <t>■ 각 독립변수의 void 측정 메커니즘</t>
        </is>
      </c>
    </row>
    <row r="14">
      <c r="A14" s="1" t="inlineStr">
        <is>
          <t>kV</t>
        </is>
      </c>
      <c r="B14" s="2" t="inlineStr">
        <is>
          <t>대비 이동→경계 이동→void면적 변화(bias). 측정직경(=void% 분모)도 이동시켜 void%에 이중 작용.</t>
        </is>
      </c>
    </row>
    <row r="15">
      <c r="A15" s="1" t="inlineStr">
        <is>
          <t>R</t>
        </is>
      </c>
      <c r="B15" s="2" t="inlineStr">
        <is>
          <t>픽셀화 오차=2/N (N=0.283·PD직경/R). shot당 범프수·검사시간 ∝R².</t>
        </is>
      </c>
    </row>
    <row r="16">
      <c r="A16" s="1" t="inlineStr">
        <is>
          <t>W</t>
        </is>
      </c>
      <c r="B16" s="2" t="inlineStr">
        <is>
          <t>두꺼운 범프 내부 광자부족→노이즈 void·경계 흔들림. 얇은 범프 둔감.</t>
        </is>
      </c>
    </row>
    <row r="17">
      <c r="A17" s="1" t="inlineStr">
        <is>
          <t>F</t>
        </is>
      </c>
      <c r="B17" s="2" t="inlineStr">
        <is>
          <t>랜덤 노이즈 평균화(∝1/√F)→반복 σ. 시간 정비례.</t>
        </is>
      </c>
    </row>
    <row r="19">
      <c r="A19" s="4" t="inlineStr">
        <is>
          <t>■ 설계 원리</t>
        </is>
      </c>
    </row>
    <row r="20">
      <c r="A20" s="2" t="inlineStr">
        <is>
          <t>교호작용(kV×R,W×F,×D)→OFAT 불가. [주효과 스윕+의심 교호작용 2×2+같은범프 반복(σ)]. ε=10% 총예산 (2/N)²+(2σ)²≤10²→N_target≈29·σ≤3.5%. Ground truth 없어 자기참조(gold)+재현성 평가.</t>
        </is>
      </c>
    </row>
    <row r="21"/>
    <row r="22"/>
    <row r="24">
      <c r="A24" s="3" t="inlineStr">
        <is>
          <t>■ 35런이 55런 대비 줄인 것</t>
        </is>
      </c>
    </row>
    <row r="25">
      <c r="A25" s="2" t="inlineStr">
        <is>
          <t>kV 3→2점 · F16 제외 · W 4→2점 · 교호작용 반복 제거(σ 없음)·W×F 4→3셀. 주효과·핵심 교호작용·최종검증 골격 유지.</t>
        </is>
      </c>
    </row>
    <row r="26"/>
  </sheetData>
  <mergeCells count="12">
    <mergeCell ref="A4:H4"/>
    <mergeCell ref="B14:H14"/>
    <mergeCell ref="A8:H11"/>
    <mergeCell ref="A25:H26"/>
    <mergeCell ref="B17:H17"/>
    <mergeCell ref="A7:H7"/>
    <mergeCell ref="A2:H2"/>
    <mergeCell ref="A20:H22"/>
    <mergeCell ref="B6:H6"/>
    <mergeCell ref="B16:H16"/>
    <mergeCell ref="B15:H15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Phase1_주효과_kV·R</t>
        </is>
      </c>
    </row>
    <row r="2">
      <c r="A2" s="5" t="inlineStr">
        <is>
          <t>직경 다이얼(kV)·void 픽셀화(R) 스윕. R최소(N58)행=gold → 그 void%를 N열에. 고정 kV스윕:gold R·F32·W4 / R스윕:kV*·F32·W4</t>
        </is>
      </c>
    </row>
    <row r="3">
      <c r="A3" s="2" t="inlineStr">
        <is>
          <t>D(C열)=PD직경(독립·참값) / 측정직경(J열)=검사결과(종속) / void%(M열)=장비 출력(측정면적 기준) 그대로 입력.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0.13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59.5</v>
      </c>
      <c r="E7" t="n">
        <v>0.13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158µm</t>
        </is>
      </c>
      <c r="C8" t="n">
        <v>158</v>
      </c>
      <c r="D8" t="n">
        <v>58.5</v>
      </c>
      <c r="E8" t="n">
        <v>0.77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158µm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62.5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R1</t>
        </is>
      </c>
      <c r="B10" t="inlineStr">
        <is>
          <t>26µm</t>
        </is>
      </c>
      <c r="C10" t="n">
        <v>26</v>
      </c>
      <c r="D10" t="n">
        <v>57.5</v>
      </c>
      <c r="E10" t="n">
        <v>0.13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N=58 =gold</t>
        </is>
      </c>
    </row>
    <row r="11">
      <c r="A11" t="inlineStr">
        <is>
          <t>R2</t>
        </is>
      </c>
      <c r="B11" t="inlineStr">
        <is>
          <t>26µm</t>
        </is>
      </c>
      <c r="C11" t="n">
        <v>26</v>
      </c>
      <c r="D11" t="n">
        <v>57.5</v>
      </c>
      <c r="E11" t="n">
        <v>0.25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N=29</t>
        </is>
      </c>
    </row>
    <row r="12">
      <c r="A12" t="inlineStr">
        <is>
          <t>R3</t>
        </is>
      </c>
      <c r="B12" t="inlineStr">
        <is>
          <t>26µm</t>
        </is>
      </c>
      <c r="C12" t="n">
        <v>26</v>
      </c>
      <c r="D12" t="n">
        <v>57.5</v>
      </c>
      <c r="E12" t="n">
        <v>0.53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N=14</t>
        </is>
      </c>
    </row>
    <row r="13">
      <c r="A13" t="inlineStr">
        <is>
          <t>R4</t>
        </is>
      </c>
      <c r="B13" t="inlineStr">
        <is>
          <t>158µm</t>
        </is>
      </c>
      <c r="C13" t="n">
        <v>158</v>
      </c>
      <c r="D13" t="n">
        <v>60.5</v>
      </c>
      <c r="E13" t="n">
        <v>0.77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N=58 =gold</t>
        </is>
      </c>
    </row>
    <row r="14">
      <c r="A14" t="inlineStr">
        <is>
          <t>R5</t>
        </is>
      </c>
      <c r="B14" t="inlineStr">
        <is>
          <t>158µm</t>
        </is>
      </c>
      <c r="C14" t="n">
        <v>158</v>
      </c>
      <c r="D14" t="n">
        <v>60.5</v>
      </c>
      <c r="E14" t="n">
        <v>1.54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N=29</t>
        </is>
      </c>
    </row>
    <row r="15">
      <c r="A15" t="inlineStr">
        <is>
          <t>R6</t>
        </is>
      </c>
      <c r="B15" t="inlineStr">
        <is>
          <t>158µm</t>
        </is>
      </c>
      <c r="C15" t="n">
        <v>158</v>
      </c>
      <c r="D15" t="n">
        <v>60.5</v>
      </c>
      <c r="E15" t="n">
        <v>3.19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N=14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Phase2_재현성_F·W</t>
        </is>
      </c>
    </row>
    <row r="2">
      <c r="A2" s="5" t="inlineStr">
        <is>
          <t>같은 범프 반복→void% σ. 26µm=F스윕(W4), 158µm=W스윕(F32). 고정 kV*·R(N29).</t>
        </is>
      </c>
    </row>
    <row r="3">
      <c r="A3" s="2" t="inlineStr">
        <is>
          <t>D(C열)=PD직경(독립·참값) / 측정직경(J열)=검사결과(종속) / void%(M열)=장비 출력(측정면적 기준) 그대로 입력.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F32</t>
        </is>
      </c>
      <c r="B6" t="inlineStr">
        <is>
          <t>26µm</t>
        </is>
      </c>
      <c r="C6" t="n">
        <v>26</v>
      </c>
      <c r="D6" t="n">
        <v>57.5</v>
      </c>
      <c r="E6" t="n">
        <v>0.25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F=32 재현성</t>
        </is>
      </c>
      <c r="S6">
        <f>IFERROR(STDEV(M6:M8)/AVERAGE(M6:M8),"")</f>
        <v/>
      </c>
    </row>
    <row r="7">
      <c r="A7" t="inlineStr">
        <is>
          <t>F32</t>
        </is>
      </c>
      <c r="B7" t="inlineStr">
        <is>
          <t>26µm</t>
        </is>
      </c>
      <c r="C7" t="n">
        <v>26</v>
      </c>
      <c r="D7" t="n">
        <v>57.5</v>
      </c>
      <c r="E7" t="n">
        <v>0.25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F32</t>
        </is>
      </c>
      <c r="B8" t="inlineStr">
        <is>
          <t>26µm</t>
        </is>
      </c>
      <c r="C8" t="n">
        <v>26</v>
      </c>
      <c r="D8" t="n">
        <v>57.5</v>
      </c>
      <c r="E8" t="n">
        <v>0.25</v>
      </c>
      <c r="F8">
        <f>IFERROR(ROUND(C8*0.2828/E8,0),"")</f>
        <v/>
      </c>
      <c r="G8" t="n">
        <v>32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F64</t>
        </is>
      </c>
      <c r="B9" t="inlineStr">
        <is>
          <t>26µm</t>
        </is>
      </c>
      <c r="C9" t="n">
        <v>26</v>
      </c>
      <c r="D9" t="n">
        <v>57.5</v>
      </c>
      <c r="E9" t="n">
        <v>0.25</v>
      </c>
      <c r="F9">
        <f>IFERROR(ROUND(C9*0.2828/E9,0),"")</f>
        <v/>
      </c>
      <c r="G9" t="n">
        <v>64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F=64 재현성</t>
        </is>
      </c>
      <c r="S9">
        <f>IFERROR(STDEV(M9:M11)/AVERAGE(M9:M11),"")</f>
        <v/>
      </c>
    </row>
    <row r="10">
      <c r="A10" t="inlineStr">
        <is>
          <t>F64</t>
        </is>
      </c>
      <c r="B10" t="inlineStr">
        <is>
          <t>26µm</t>
        </is>
      </c>
      <c r="C10" t="n">
        <v>26</v>
      </c>
      <c r="D10" t="n">
        <v>57.5</v>
      </c>
      <c r="E10" t="n">
        <v>0.25</v>
      </c>
      <c r="F10">
        <f>IFERROR(ROUND(C10*0.2828/E10,0),"")</f>
        <v/>
      </c>
      <c r="G10" t="n">
        <v>64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F64</t>
        </is>
      </c>
      <c r="B11" t="inlineStr">
        <is>
          <t>26µm</t>
        </is>
      </c>
      <c r="C11" t="n">
        <v>26</v>
      </c>
      <c r="D11" t="n">
        <v>57.5</v>
      </c>
      <c r="E11" t="n">
        <v>0.25</v>
      </c>
      <c r="F11">
        <f>IFERROR(ROUND(C11*0.2828/E11,0),"")</f>
        <v/>
      </c>
      <c r="G11" t="n">
        <v>64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W4</t>
        </is>
      </c>
      <c r="B12" t="inlineStr">
        <is>
          <t>158µm</t>
        </is>
      </c>
      <c r="C12" t="n">
        <v>158</v>
      </c>
      <c r="D12" t="n">
        <v>60.5</v>
      </c>
      <c r="E12" t="n">
        <v>1.54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W=4 재현성·깜빡임</t>
        </is>
      </c>
      <c r="S12">
        <f>IFERROR(STDEV(M12:M14)/AVERAGE(M12:M14),"")</f>
        <v/>
      </c>
    </row>
    <row r="13">
      <c r="A13" t="inlineStr">
        <is>
          <t>W4</t>
        </is>
      </c>
      <c r="B13" t="inlineStr">
        <is>
          <t>158µm</t>
        </is>
      </c>
      <c r="C13" t="n">
        <v>158</v>
      </c>
      <c r="D13" t="n">
        <v>60.5</v>
      </c>
      <c r="E13" t="n">
        <v>1.54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W4</t>
        </is>
      </c>
      <c r="B14" t="inlineStr">
        <is>
          <t>158µm</t>
        </is>
      </c>
      <c r="C14" t="n">
        <v>158</v>
      </c>
      <c r="D14" t="n">
        <v>60.5</v>
      </c>
      <c r="E14" t="n">
        <v>1.54</v>
      </c>
      <c r="F14">
        <f>IFERROR(ROUND(C14*0.2828/E14,0),"")</f>
        <v/>
      </c>
      <c r="G14" t="n">
        <v>32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W6</t>
        </is>
      </c>
      <c r="B15" t="inlineStr">
        <is>
          <t>158µm</t>
        </is>
      </c>
      <c r="C15" t="n">
        <v>158</v>
      </c>
      <c r="D15" t="n">
        <v>60.5</v>
      </c>
      <c r="E15" t="n">
        <v>1.54</v>
      </c>
      <c r="F15">
        <f>IFERROR(ROUND(C15*0.2828/E15,0),"")</f>
        <v/>
      </c>
      <c r="G15" t="n">
        <v>32</v>
      </c>
      <c r="H15" t="n">
        <v>6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W=6 재현성·깜빡임</t>
        </is>
      </c>
      <c r="S15">
        <f>IFERROR(STDEV(M15:M17)/AVERAGE(M15:M17),"")</f>
        <v/>
      </c>
    </row>
    <row r="16">
      <c r="A16" t="inlineStr">
        <is>
          <t>W6</t>
        </is>
      </c>
      <c r="B16" t="inlineStr">
        <is>
          <t>158µm</t>
        </is>
      </c>
      <c r="C16" t="n">
        <v>158</v>
      </c>
      <c r="D16" t="n">
        <v>60.5</v>
      </c>
      <c r="E16" t="n">
        <v>1.54</v>
      </c>
      <c r="F16">
        <f>IFERROR(ROUND(C16*0.2828/E16,0),"")</f>
        <v/>
      </c>
      <c r="G16" t="n">
        <v>32</v>
      </c>
      <c r="H16" t="n">
        <v>6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W6</t>
        </is>
      </c>
      <c r="B17" t="inlineStr">
        <is>
          <t>158µm</t>
        </is>
      </c>
      <c r="C17" t="n">
        <v>158</v>
      </c>
      <c r="D17" t="n">
        <v>60.5</v>
      </c>
      <c r="E17" t="n">
        <v>1.54</v>
      </c>
      <c r="F17">
        <f>IFERROR(ROUND(C17*0.2828/E17,0),"")</f>
        <v/>
      </c>
      <c r="G17" t="n">
        <v>32</v>
      </c>
      <c r="H17" t="n">
        <v>6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Phase3_교호작용</t>
        </is>
      </c>
    </row>
    <row r="2">
      <c r="A2" s="5" t="inlineStr">
        <is>
          <t>kV×R(26µm): 대비bias×픽셀화 / W×F(158µm): SNR∝√(W·F) 교환. ×D는 두 자재로 확인.</t>
        </is>
      </c>
    </row>
    <row r="3">
      <c r="A3" s="2" t="inlineStr">
        <is>
          <t>D(C열)=PD직경(독립·참값) / 측정직경(J열)=검사결과(종속) / void%(M열)=장비 출력(측정면적 기준) 그대로 입력.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0.53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kV55.5×N14</t>
        </is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0.13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kV55.5×N58</t>
        </is>
      </c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59.5</v>
      </c>
      <c r="E8" t="n">
        <v>0.53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kV59.5×N14</t>
        </is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59.5</v>
      </c>
      <c r="E9" t="n">
        <v>0.13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kV59.5×N58</t>
        </is>
      </c>
    </row>
    <row r="10">
      <c r="A10" t="inlineStr">
        <is>
          <t>WF</t>
        </is>
      </c>
      <c r="B10" t="inlineStr">
        <is>
          <t>158µm</t>
        </is>
      </c>
      <c r="C10" t="n">
        <v>158</v>
      </c>
      <c r="D10" t="n">
        <v>60.5</v>
      </c>
      <c r="E10" t="n">
        <v>1.54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W4×F32(기준)</t>
        </is>
      </c>
    </row>
    <row r="11">
      <c r="A11" t="inlineStr">
        <is>
          <t>WF</t>
        </is>
      </c>
      <c r="B11" t="inlineStr">
        <is>
          <t>158µm</t>
        </is>
      </c>
      <c r="C11" t="n">
        <v>158</v>
      </c>
      <c r="D11" t="n">
        <v>60.5</v>
      </c>
      <c r="E11" t="n">
        <v>1.54</v>
      </c>
      <c r="F11">
        <f>IFERROR(ROUND(C11*0.2828/E11,0),"")</f>
        <v/>
      </c>
      <c r="G11" t="n">
        <v>32</v>
      </c>
      <c r="H11" t="n">
        <v>6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W6×F32(W효과)</t>
        </is>
      </c>
    </row>
    <row r="12">
      <c r="A12" t="inlineStr">
        <is>
          <t>WF</t>
        </is>
      </c>
      <c r="B12" t="inlineStr">
        <is>
          <t>158µm</t>
        </is>
      </c>
      <c r="C12" t="n">
        <v>158</v>
      </c>
      <c r="D12" t="n">
        <v>60.5</v>
      </c>
      <c r="E12" t="n">
        <v>1.54</v>
      </c>
      <c r="F12">
        <f>IFERROR(ROUND(C12*0.2828/E12,0),"")</f>
        <v/>
      </c>
      <c r="G12" t="n">
        <v>16</v>
      </c>
      <c r="H12" t="n">
        <v>6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W6×F16(F교환)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Phase4_확인</t>
        </is>
      </c>
    </row>
    <row r="2">
      <c r="A2" s="5" t="inlineStr">
        <is>
          <t>모델 산출 (kV,R,F,W)로 자재별 ×3반복. 합격: 매칭Y &amp; Q_dia 97~103% &amp; |void편차|≤10% &amp; σ≤3.5% &amp; tact 최소.</t>
        </is>
      </c>
    </row>
    <row r="3">
      <c r="A3" s="2" t="inlineStr">
        <is>
          <t>D(C열)=PD직경(독립·참값) / 측정직경(J열)=검사결과(종속) / void%(M열)=장비 출력(측정면적 기준) 그대로 입력.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(모델R)</t>
        </is>
      </c>
      <c r="F6">
        <f>IFERROR(ROUND(C6*0.2828/E6,0),"")</f>
        <v/>
      </c>
      <c r="G6" t="n">
        <v>32</v>
      </c>
      <c r="H6" t="inlineStr">
        <is>
          <t>(모델W)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모델 산출값 검증</t>
        </is>
      </c>
      <c r="S6">
        <f>IFERROR(STDEV(M6:M8)/AVERAGE(M6:M8),"")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(모델R)</t>
        </is>
      </c>
      <c r="F7">
        <f>IFERROR(ROUND(C7*0.2828/E7,0),"")</f>
        <v/>
      </c>
      <c r="G7" t="n">
        <v>32</v>
      </c>
      <c r="H7" t="inlineStr">
        <is>
          <t>(모델W)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(모델R)</t>
        </is>
      </c>
      <c r="F8">
        <f>IFERROR(ROUND(C8*0.2828/E8,0),"")</f>
        <v/>
      </c>
      <c r="G8" t="n">
        <v>32</v>
      </c>
      <c r="H8" t="inlineStr">
        <is>
          <t>(모델W)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(모델R)</t>
        </is>
      </c>
      <c r="F9">
        <f>IFERROR(ROUND(C9*0.2828/E9,0),"")</f>
        <v/>
      </c>
      <c r="G9" t="n">
        <v>32</v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모델 산출값 검증</t>
        </is>
      </c>
      <c r="S9">
        <f>IFERROR(STDEV(M9:M11)/AVERAGE(M9:M11),"")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(모델R)</t>
        </is>
      </c>
      <c r="F10">
        <f>IFERROR(ROUND(C10*0.2828/E10,0),"")</f>
        <v/>
      </c>
      <c r="G10" t="n">
        <v>32</v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(모델R)</t>
        </is>
      </c>
      <c r="F11">
        <f>IFERROR(ROUND(C11*0.2828/E11,0),"")</f>
        <v/>
      </c>
      <c r="G11" t="n">
        <v>32</v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4" t="inlineStr">
        <is>
          <t>■ 확정할 계수(순전파)</t>
        </is>
      </c>
    </row>
    <row r="4">
      <c r="A4" s="1" t="inlineStr">
        <is>
          <t>kV 직경식</t>
        </is>
      </c>
      <c r="B4" s="2" t="inlineStr">
        <is>
          <t>측정직경/PD=1+s·(kV−kV0). Phase1로 s·kV*(측정=PD 지점)</t>
        </is>
      </c>
    </row>
    <row r="5">
      <c r="A5" s="1" t="inlineStr">
        <is>
          <t>N_target(R)</t>
        </is>
      </c>
      <c r="B5" s="2" t="inlineStr">
        <is>
          <t>Phase1 R스윕: gold 대비 |void편차| 7% 넘는 N. 이론≈29</t>
        </is>
      </c>
    </row>
    <row r="6">
      <c r="A6" s="1" t="inlineStr">
        <is>
          <t>σ(F)</t>
        </is>
      </c>
      <c r="B6" s="2" t="inlineStr">
        <is>
          <t>Phase2 F스윕: void% σ_rel≤3.5% 최소 F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</t>
        </is>
      </c>
    </row>
    <row r="9">
      <c r="A9" s="1" t="inlineStr">
        <is>
          <t>tact(R,F)</t>
        </is>
      </c>
      <c r="B9" s="2" t="inlineStr">
        <is>
          <t>tact=a·(shot수·F)+b, shot수=ROUNDUP(목표범프/(R²비례))</t>
        </is>
      </c>
    </row>
    <row r="11">
      <c r="A11" s="4" t="inlineStr">
        <is>
          <t>■ 역설계 규칙 (PD직경 D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 직선서 읽고 1kV씩 트림해 측정직경=PD(100%)</t>
        </is>
      </c>
    </row>
    <row r="14">
      <c r="A14" s="1" t="inlineStr">
        <is>
          <t>2) R</t>
        </is>
      </c>
      <c r="B14" s="2" t="inlineStr">
        <is>
          <t>R=D·√p/N_target</t>
        </is>
      </c>
    </row>
    <row r="15">
      <c r="A15" s="1" t="inlineStr">
        <is>
          <t>3) F</t>
        </is>
      </c>
      <c r="B15" s="2" t="inlineStr">
        <is>
          <t>σ(F)에서 σ_rel≤3.5% 최소 F</t>
        </is>
      </c>
    </row>
    <row r="16">
      <c r="A16" s="1" t="inlineStr">
        <is>
          <t>4) W</t>
        </is>
      </c>
      <c r="B16" s="2" t="inlineStr">
        <is>
          <t>얇으면 4W, 두꺼우면 W*(D). W↑로 F↓ 교환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보정계수·N_target에 옮겨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2026-07-05T12:54:31Z</dcterms:created>
  <dcterms:modified xmlns:dcterms="http://purl.org/dc/terms/" xmlns:xsi="http://www.w3.org/2001/XMLSchema-instance" xsi:type="dcterms:W3CDTF">2026-07-05T12:54:31Z</dcterms:modified>
</cp:coreProperties>
</file>