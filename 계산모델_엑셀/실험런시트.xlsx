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0_취득페널티" sheetId="1" state="visible" r:id="rId1"/>
    <sheet xmlns:r="http://schemas.openxmlformats.org/officeDocument/2006/relationships" name="PhaseA_kV확정" sheetId="2" state="visible" r:id="rId2"/>
    <sheet xmlns:r="http://schemas.openxmlformats.org/officeDocument/2006/relationships" name="PhaseB_N곡선_Frame" sheetId="3" state="visible" r:id="rId3"/>
    <sheet xmlns:r="http://schemas.openxmlformats.org/officeDocument/2006/relationships" name="PhaseC_검증" sheetId="4" state="visible" r:id="rId4"/>
    <sheet xmlns:r="http://schemas.openxmlformats.org/officeDocument/2006/relationships" name="분석_자동계산" sheetId="5" state="visible" r:id="rId5"/>
    <sheet xmlns:r="http://schemas.openxmlformats.org/officeDocument/2006/relationships" name="PhaseW_Power" sheetId="6" state="visible" r:id="rId6"/>
    <sheet xmlns:r="http://schemas.openxmlformats.org/officeDocument/2006/relationships" name="Shot_타일일관성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777777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9" fontId="0" fillId="4" borderId="1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Phase0 — 취득 생략 페널티 분리 (최우선: 같은 웨이퍼, CAD 신선도만 변경)</t>
        </is>
      </c>
    </row>
    <row r="2">
      <c r="A2" s="2" t="inlineStr">
        <is>
          <t>검사 파라미터는 P1·P2 완전 동일. P2−P1 매칭률 차이 = 취득 생략 페널티</t>
        </is>
      </c>
    </row>
    <row r="4">
      <c r="A4" s="3" t="inlineStr">
        <is>
          <t>Run</t>
        </is>
      </c>
      <c r="B4" s="3" t="inlineStr">
        <is>
          <t>자재</t>
        </is>
      </c>
      <c r="C4" s="3" t="inlineStr">
        <is>
          <t>CAD 신선도</t>
        </is>
      </c>
      <c r="D4" s="3" t="inlineStr">
        <is>
          <t>kV</t>
        </is>
      </c>
      <c r="E4" s="3" t="inlineStr">
        <is>
          <t>R</t>
        </is>
      </c>
      <c r="F4" s="3" t="inlineStr">
        <is>
          <t>Frame</t>
        </is>
      </c>
      <c r="G4" s="3" t="inlineStr">
        <is>
          <t>측정직경(µm)</t>
        </is>
      </c>
      <c r="H4" s="3" t="inlineStr">
        <is>
          <t>nominal(µm)</t>
        </is>
      </c>
      <c r="I4" s="3" t="inlineStr">
        <is>
          <t>Q_dia(자동)</t>
        </is>
      </c>
      <c r="J4" s="3" t="inlineStr">
        <is>
          <t>매칭 성공die</t>
        </is>
      </c>
      <c r="K4" s="3" t="inlineStr">
        <is>
          <t>검사die수</t>
        </is>
      </c>
      <c r="L4" s="3" t="inlineStr">
        <is>
          <t>void%</t>
        </is>
      </c>
      <c r="M4" s="3" t="inlineStr">
        <is>
          <t>tact(초)</t>
        </is>
      </c>
      <c r="N4" s="3" t="inlineStr">
        <is>
          <t>판정(자동)</t>
        </is>
      </c>
      <c r="O4" s="3" t="inlineStr">
        <is>
          <t>메모</t>
        </is>
      </c>
      <c r="P4" s="8" t="inlineStr">
        <is>
          <t>검사범프수</t>
        </is>
      </c>
      <c r="Q4" s="8" t="inlineStr">
        <is>
          <t>shot수</t>
        </is>
      </c>
    </row>
    <row r="5">
      <c r="A5" s="4" t="inlineStr">
        <is>
          <t>P1</t>
        </is>
      </c>
      <c r="B5" s="4" t="inlineStr">
        <is>
          <t>158µm</t>
        </is>
      </c>
      <c r="C5" s="4" t="inlineStr">
        <is>
          <t>기존 레시피(취득 생략=현행)</t>
        </is>
      </c>
      <c r="D5" s="4" t="n">
        <v>60</v>
      </c>
      <c r="E5" s="4" t="n">
        <v>1</v>
      </c>
      <c r="F5" s="4" t="n">
        <v>32</v>
      </c>
      <c r="G5" s="5" t="n"/>
      <c r="H5" s="4" t="n">
        <v>158</v>
      </c>
      <c r="I5" s="6">
        <f>IFERROR(G5/H5,"")</f>
        <v/>
      </c>
      <c r="J5" s="5" t="n"/>
      <c r="K5" s="4" t="n">
        <v>6</v>
      </c>
      <c r="L5" s="5" t="n"/>
      <c r="M5" s="5" t="n"/>
      <c r="N5" s="7">
        <f>IF(J5="","",J5&amp;"/"&amp;K5&amp;" 매칭")</f>
        <v/>
      </c>
      <c r="O5" s="4" t="inlineStr">
        <is>
          <t>현행 운용 기준선</t>
        </is>
      </c>
      <c r="P5" t="n">
        <v>50</v>
      </c>
      <c r="Q5" t="n">
        <v>1</v>
      </c>
    </row>
    <row r="6">
      <c r="A6" s="4" t="inlineStr">
        <is>
          <t>P2</t>
        </is>
      </c>
      <c r="B6" s="4" t="inlineStr">
        <is>
          <t>158µm</t>
        </is>
      </c>
      <c r="C6" s="4" t="inlineStr">
        <is>
          <t>신규 취득 후 검사</t>
        </is>
      </c>
      <c r="D6" s="4" t="n">
        <v>60</v>
      </c>
      <c r="E6" s="4" t="n">
        <v>1</v>
      </c>
      <c r="F6" s="4" t="n">
        <v>32</v>
      </c>
      <c r="G6" s="5" t="n"/>
      <c r="H6" s="4" t="n">
        <v>158</v>
      </c>
      <c r="I6" s="6">
        <f>IFERROR(G6/H6,"")</f>
        <v/>
      </c>
      <c r="J6" s="5" t="n"/>
      <c r="K6" s="4" t="n">
        <v>6</v>
      </c>
      <c r="L6" s="5" t="n"/>
      <c r="M6" s="5" t="n"/>
      <c r="N6" s="7">
        <f>IF(J6="","",J6&amp;"/"&amp;K6&amp;" 매칭")</f>
        <v/>
      </c>
      <c r="O6" s="4" t="inlineStr">
        <is>
          <t>P1과 매칭률 비교</t>
        </is>
      </c>
      <c r="P6" t="n">
        <v>50</v>
      </c>
      <c r="Q6" t="n">
        <v>1</v>
      </c>
    </row>
    <row r="7">
      <c r="A7" s="4" t="inlineStr">
        <is>
          <t>P3</t>
        </is>
      </c>
      <c r="B7" s="4" t="inlineStr">
        <is>
          <t>TB500M</t>
        </is>
      </c>
      <c r="C7" s="4" t="inlineStr">
        <is>
          <t>기존 RUN 레시피 재사용</t>
        </is>
      </c>
      <c r="D7" s="4" t="n">
        <v>60</v>
      </c>
      <c r="E7" s="4" t="n">
        <v>1</v>
      </c>
      <c r="F7" s="4" t="n">
        <v>32</v>
      </c>
      <c r="G7" s="5" t="n"/>
      <c r="H7" s="4" t="n">
        <v>26</v>
      </c>
      <c r="I7" s="6">
        <f>IFERROR(G7/H7,"")</f>
        <v/>
      </c>
      <c r="J7" s="5" t="n"/>
      <c r="K7" s="4" t="n">
        <v>6</v>
      </c>
      <c r="L7" s="5" t="n"/>
      <c r="M7" s="5" t="n"/>
      <c r="N7" s="7">
        <f>IF(J7="","",J7&amp;"/"&amp;K7&amp;" 매칭")</f>
        <v/>
      </c>
      <c r="O7" s="4" t="inlineStr">
        <is>
          <t>PhaseB 신규취득 결과와 비교</t>
        </is>
      </c>
      <c r="P7" t="n">
        <v>50</v>
      </c>
      <c r="Q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PhaseA_kV확정 — 자재별 기울기·최적점 (하루에 완료 가능)</t>
        </is>
      </c>
    </row>
    <row r="2">
      <c r="A2" s="2" t="inlineStr">
        <is>
          <t>이 단계는 W=4W로 고정(얇은 범프 기준값). W 자체의 최적화는 PhaseW에서 별도 진행 / Acquisition 표준세트</t>
        </is>
      </c>
    </row>
    <row r="4">
      <c r="A4" s="3" t="inlineStr">
        <is>
          <t>Run</t>
        </is>
      </c>
      <c r="B4" s="3" t="inlineStr">
        <is>
          <t>자재</t>
        </is>
      </c>
      <c r="C4" s="3" t="inlineStr">
        <is>
          <t>kV</t>
        </is>
      </c>
      <c r="D4" s="3" t="inlineStr">
        <is>
          <t>R(µm/px)</t>
        </is>
      </c>
      <c r="E4" s="3" t="inlineStr">
        <is>
          <t>Frame</t>
        </is>
      </c>
      <c r="F4" s="3" t="inlineStr">
        <is>
          <t>측정직경(µm)</t>
        </is>
      </c>
      <c r="G4" s="3" t="inlineStr">
        <is>
          <t>nominal(µm)</t>
        </is>
      </c>
      <c r="H4" s="3" t="inlineStr">
        <is>
          <t>Q_dia(자동)</t>
        </is>
      </c>
      <c r="I4" s="3" t="inlineStr">
        <is>
          <t>매칭 성공die</t>
        </is>
      </c>
      <c r="J4" s="3" t="inlineStr">
        <is>
          <t>검사die수</t>
        </is>
      </c>
      <c r="K4" s="3" t="inlineStr">
        <is>
          <t>void%</t>
        </is>
      </c>
      <c r="L4" s="3" t="inlineStr">
        <is>
          <t>tact(초)</t>
        </is>
      </c>
      <c r="M4" s="3" t="inlineStr">
        <is>
          <t>판정(자동)</t>
        </is>
      </c>
      <c r="N4" s="3" t="inlineStr">
        <is>
          <t>메모</t>
        </is>
      </c>
      <c r="O4" s="8" t="inlineStr">
        <is>
          <t>검사범프수</t>
        </is>
      </c>
      <c r="P4" s="8" t="inlineStr">
        <is>
          <t>shot수</t>
        </is>
      </c>
    </row>
    <row r="5">
      <c r="A5" s="4" t="inlineStr">
        <is>
          <t>A1</t>
        </is>
      </c>
      <c r="B5" s="4" t="inlineStr">
        <is>
          <t>TB500M</t>
        </is>
      </c>
      <c r="C5" s="4" t="n">
        <v>57.5</v>
      </c>
      <c r="D5" s="4" t="n">
        <v>1</v>
      </c>
      <c r="E5" s="4" t="n">
        <v>32</v>
      </c>
      <c r="F5" s="5" t="n"/>
      <c r="G5" s="4" t="n">
        <v>26</v>
      </c>
      <c r="H5" s="6">
        <f>IFERROR(F5/G5,"")</f>
        <v/>
      </c>
      <c r="I5" s="5" t="n"/>
      <c r="J5" s="4" t="n">
        <v>6</v>
      </c>
      <c r="K5" s="5" t="n"/>
      <c r="L5" s="5" t="n"/>
      <c r="M5" s="7">
        <f>IF(F5="","",IF(AND(H5&gt;=0.97,H5&lt;=1.03,I5=J5),"PASS",IF(AND(H5&gt;=0.9,H5&lt;=1.05,I5=J5),"OK(마진)","FAIL")))</f>
        <v/>
      </c>
      <c r="N5" s="4" t="inlineStr">
        <is>
          <t>예측 kV* 검증. 매칭실패 시 58.5 재시도</t>
        </is>
      </c>
      <c r="O5" t="n">
        <v>50</v>
      </c>
      <c r="P5" t="n">
        <v>1</v>
      </c>
    </row>
    <row r="6">
      <c r="A6" s="4" t="inlineStr">
        <is>
          <t>A1b</t>
        </is>
      </c>
      <c r="B6" s="4" t="inlineStr">
        <is>
          <t>TB500M</t>
        </is>
      </c>
      <c r="C6" s="4" t="n">
        <v>58.5</v>
      </c>
      <c r="D6" s="4" t="n">
        <v>1</v>
      </c>
      <c r="E6" s="4" t="n">
        <v>32</v>
      </c>
      <c r="F6" s="5" t="n"/>
      <c r="G6" s="4" t="n">
        <v>26</v>
      </c>
      <c r="H6" s="6">
        <f>IFERROR(F6/G6,"")</f>
        <v/>
      </c>
      <c r="I6" s="5" t="n"/>
      <c r="J6" s="4" t="n">
        <v>6</v>
      </c>
      <c r="K6" s="5" t="n"/>
      <c r="L6" s="5" t="n"/>
      <c r="M6" s="7">
        <f>IF(F6="","",IF(AND(H6&gt;=0.97,H6&lt;=1.03,I6=J6),"PASS",IF(AND(H6&gt;=0.9,H6&lt;=1.05,I6=J6),"OK(마진)","FAIL")))</f>
        <v/>
      </c>
      <c r="N6" s="4" t="inlineStr">
        <is>
          <t>(A1 매칭실패 시에만)</t>
        </is>
      </c>
      <c r="O6" t="n">
        <v>50</v>
      </c>
      <c r="P6" t="n">
        <v>1</v>
      </c>
    </row>
    <row r="7">
      <c r="A7" s="4" t="inlineStr">
        <is>
          <t>A2</t>
        </is>
      </c>
      <c r="B7" s="4" t="inlineStr">
        <is>
          <t>158µm</t>
        </is>
      </c>
      <c r="C7" s="4" t="n">
        <v>60</v>
      </c>
      <c r="D7" s="4" t="n">
        <v>1</v>
      </c>
      <c r="E7" s="4" t="n">
        <v>32</v>
      </c>
      <c r="F7" s="5" t="n"/>
      <c r="G7" s="4" t="n">
        <v>158</v>
      </c>
      <c r="H7" s="6">
        <f>IFERROR(F7/G7,"")</f>
        <v/>
      </c>
      <c r="I7" s="5" t="n"/>
      <c r="J7" s="4" t="n">
        <v>6</v>
      </c>
      <c r="K7" s="5" t="n"/>
      <c r="L7" s="5" t="n"/>
      <c r="M7" s="7">
        <f>IF(F7="","",IF(AND(H7&gt;=0.97,H7&lt;=1.03,I7=J7),"PASS",IF(AND(H7&gt;=0.9,H7&lt;=1.05,I7=J7),"OK(마진)","FAIL")))</f>
        <v/>
      </c>
      <c r="N7" s="4" t="inlineStr">
        <is>
          <t>기존 60kV 데이터와 이어붙여 158µm 기울기 확정(158µm은 실측 없어 2점 직선)</t>
        </is>
      </c>
      <c r="O7" t="n">
        <v>50</v>
      </c>
      <c r="P7" t="n">
        <v>1</v>
      </c>
    </row>
    <row r="8">
      <c r="A8" s="4" t="inlineStr">
        <is>
          <t>A3</t>
        </is>
      </c>
      <c r="B8" s="4" t="inlineStr">
        <is>
          <t>158µm</t>
        </is>
      </c>
      <c r="C8" s="4" t="n">
        <v>63</v>
      </c>
      <c r="D8" s="4" t="n">
        <v>1</v>
      </c>
      <c r="E8" s="4" t="n">
        <v>32</v>
      </c>
      <c r="F8" s="5" t="n"/>
      <c r="G8" s="4" t="n">
        <v>158</v>
      </c>
      <c r="H8" s="6">
        <f>IFERROR(F8/G8,"")</f>
        <v/>
      </c>
      <c r="I8" s="5" t="n"/>
      <c r="J8" s="4" t="n">
        <v>6</v>
      </c>
      <c r="K8" s="5" t="n"/>
      <c r="L8" s="5" t="n"/>
      <c r="M8" s="7">
        <f>IF(F8="","",IF(AND(H8&gt;=0.97,H8&lt;=1.03,I8=J8),"PASS",IF(AND(H8&gt;=0.9,H8&lt;=1.05,I8=J8),"OK(마진)","FAIL")))</f>
        <v/>
      </c>
      <c r="N8" s="4" t="inlineStr">
        <is>
          <t>60·63kV 2점으로 158µm 최적 kV 확정</t>
        </is>
      </c>
      <c r="O8" t="n">
        <v>50</v>
      </c>
      <c r="P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PhaseB_N곡선_Frame — TB500M void 웨이퍼(Lot126173086 s17) 고정 — 같은 die 추적</t>
        </is>
      </c>
    </row>
    <row r="2">
      <c r="A2" s="2" t="inlineStr">
        <is>
          <t>고정: W=4W(26µm은 W에 둔감), kV=B0에서 확정한 값 유지. Frame은 32/64/128(장비 F최소=32)</t>
        </is>
      </c>
    </row>
    <row r="3">
      <c r="A3" s="9" t="inlineStr">
        <is>
          <t>★일관성 규칙: R을 넓게 바꾸므로, '가장 작은 R(0.2)에서도 1 shot에 들어오는 중앙 ~50개 범프'만 고정 추적한다. 그러면 모든 R이 1 shot=동일 범프가 되어 shot 수 교란이 사라진다. void%는 각 범프 로컬 픽셀로 계산.</t>
        </is>
      </c>
    </row>
    <row r="4">
      <c r="A4" s="3" t="inlineStr">
        <is>
          <t>Run</t>
        </is>
      </c>
      <c r="B4" s="3" t="inlineStr">
        <is>
          <t>자재</t>
        </is>
      </c>
      <c r="C4" s="3" t="inlineStr">
        <is>
          <t>kV</t>
        </is>
      </c>
      <c r="D4" s="3" t="inlineStr">
        <is>
          <t>R(µm/px)</t>
        </is>
      </c>
      <c r="E4" s="3" t="inlineStr">
        <is>
          <t>Frame</t>
        </is>
      </c>
      <c r="F4" s="3" t="inlineStr">
        <is>
          <t>측정직경(µm)</t>
        </is>
      </c>
      <c r="G4" s="3" t="inlineStr">
        <is>
          <t>nominal(µm)</t>
        </is>
      </c>
      <c r="H4" s="3" t="inlineStr">
        <is>
          <t>Q_dia(자동)</t>
        </is>
      </c>
      <c r="I4" s="3" t="inlineStr">
        <is>
          <t>매칭 성공die</t>
        </is>
      </c>
      <c r="J4" s="3" t="inlineStr">
        <is>
          <t>검사die수</t>
        </is>
      </c>
      <c r="K4" s="3" t="inlineStr">
        <is>
          <t>void%</t>
        </is>
      </c>
      <c r="L4" s="3" t="inlineStr">
        <is>
          <t>tact(초)</t>
        </is>
      </c>
      <c r="M4" s="3" t="inlineStr">
        <is>
          <t>판정(자동)</t>
        </is>
      </c>
      <c r="N4" s="3" t="inlineStr">
        <is>
          <t>메모</t>
        </is>
      </c>
      <c r="O4" s="8" t="inlineStr">
        <is>
          <t>검사범프수</t>
        </is>
      </c>
      <c r="P4" s="8" t="inlineStr">
        <is>
          <t>shot수</t>
        </is>
      </c>
    </row>
    <row r="5">
      <c r="A5" s="4" t="inlineStr">
        <is>
          <t>B0</t>
        </is>
      </c>
      <c r="B5" s="4" t="inlineStr">
        <is>
          <t>TB500M</t>
        </is>
      </c>
      <c r="C5" s="4" t="inlineStr">
        <is>
          <t>(트림: A1값부터)</t>
        </is>
      </c>
      <c r="D5" s="4" t="n">
        <v>0.2</v>
      </c>
      <c r="E5" s="4" t="n">
        <v>32</v>
      </c>
      <c r="F5" s="5" t="n"/>
      <c r="G5" s="4" t="n">
        <v>26</v>
      </c>
      <c r="H5" s="6">
        <f>IFERROR(F5/G5,"")</f>
        <v/>
      </c>
      <c r="I5" s="5" t="n"/>
      <c r="J5" s="4" t="n">
        <v>6</v>
      </c>
      <c r="K5" s="5" t="n"/>
      <c r="L5" s="5" t="n"/>
      <c r="M5" s="7">
        <f>IF(F5="","",IF(AND(H5&gt;=0.97,H5&lt;=1.03,I5=J5),"PASS",IF(AND(H5&gt;=0.9,H5&lt;=1.05,I5=J5),"OK(마진)","FAIL")))</f>
        <v/>
      </c>
      <c r="N5" s="4" t="inlineStr">
        <is>
          <t>R0.2에서 Q≈100% 만들기 → 기준 void%</t>
        </is>
      </c>
      <c r="O5" t="n">
        <v>50</v>
      </c>
      <c r="P5" t="n">
        <v>1</v>
      </c>
    </row>
    <row r="6">
      <c r="A6" s="4" t="inlineStr">
        <is>
          <t>B1</t>
        </is>
      </c>
      <c r="B6" s="4" t="inlineStr">
        <is>
          <t>TB500M</t>
        </is>
      </c>
      <c r="C6" s="4" t="inlineStr">
        <is>
          <t>B0 kV</t>
        </is>
      </c>
      <c r="D6" s="4" t="n">
        <v>0.6</v>
      </c>
      <c r="E6" s="4" t="n">
        <v>32</v>
      </c>
      <c r="F6" s="5" t="n"/>
      <c r="G6" s="4" t="n">
        <v>26</v>
      </c>
      <c r="H6" s="6">
        <f>IFERROR(F6/G6,"")</f>
        <v/>
      </c>
      <c r="I6" s="5" t="n"/>
      <c r="J6" s="4" t="n">
        <v>6</v>
      </c>
      <c r="K6" s="5" t="n"/>
      <c r="L6" s="5" t="n"/>
      <c r="M6" s="7">
        <f>IF(F6="","",IF(AND(H6&gt;=0.97,H6&lt;=1.03,I6=J6),"PASS",IF(AND(H6&gt;=0.9,H6&lt;=1.05,I6=J6),"OK(마진)","FAIL")))</f>
        <v/>
      </c>
      <c r="N6" s="4" t="inlineStr">
        <is>
          <t>N곡선</t>
        </is>
      </c>
      <c r="O6" t="n">
        <v>50</v>
      </c>
      <c r="P6" t="n">
        <v>1</v>
      </c>
    </row>
    <row r="7">
      <c r="A7" s="4" t="inlineStr">
        <is>
          <t>B2</t>
        </is>
      </c>
      <c r="B7" s="4" t="inlineStr">
        <is>
          <t>TB500M</t>
        </is>
      </c>
      <c r="C7" s="4" t="inlineStr">
        <is>
          <t>B0 kV</t>
        </is>
      </c>
      <c r="D7" s="4" t="n">
        <v>1</v>
      </c>
      <c r="E7" s="4" t="n">
        <v>32</v>
      </c>
      <c r="F7" s="5" t="n"/>
      <c r="G7" s="4" t="n">
        <v>26</v>
      </c>
      <c r="H7" s="6">
        <f>IFERROR(F7/G7,"")</f>
        <v/>
      </c>
      <c r="I7" s="5" t="n"/>
      <c r="J7" s="4" t="n">
        <v>6</v>
      </c>
      <c r="K7" s="5" t="n"/>
      <c r="L7" s="5" t="n"/>
      <c r="M7" s="7">
        <f>IF(F7="","",IF(AND(H7&gt;=0.97,H7&lt;=1.03,I7=J7),"PASS",IF(AND(H7&gt;=0.9,H7&lt;=1.05,I7=J7),"OK(마진)","FAIL")))</f>
        <v/>
      </c>
      <c r="N7" s="4" t="inlineStr">
        <is>
          <t>N곡선 (A1과 병합 가능)</t>
        </is>
      </c>
      <c r="O7" t="n">
        <v>50</v>
      </c>
      <c r="P7" t="n">
        <v>1</v>
      </c>
    </row>
    <row r="8">
      <c r="A8" s="4" t="inlineStr">
        <is>
          <t>B3</t>
        </is>
      </c>
      <c r="B8" s="4" t="inlineStr">
        <is>
          <t>TB500M</t>
        </is>
      </c>
      <c r="C8" s="4" t="inlineStr">
        <is>
          <t>B0 kV</t>
        </is>
      </c>
      <c r="D8" s="4" t="n">
        <v>1.6</v>
      </c>
      <c r="E8" s="4" t="n">
        <v>32</v>
      </c>
      <c r="F8" s="5" t="n"/>
      <c r="G8" s="4" t="n">
        <v>26</v>
      </c>
      <c r="H8" s="6">
        <f>IFERROR(F8/G8,"")</f>
        <v/>
      </c>
      <c r="I8" s="5" t="n"/>
      <c r="J8" s="4" t="n">
        <v>6</v>
      </c>
      <c r="K8" s="5" t="n"/>
      <c r="L8" s="5" t="n"/>
      <c r="M8" s="7">
        <f>IF(F8="","",IF(AND(H8&gt;=0.97,H8&lt;=1.03,I8=J8),"PASS",IF(AND(H8&gt;=0.9,H8&lt;=1.05,I8=J8),"OK(마진)","FAIL")))</f>
        <v/>
      </c>
      <c r="N8" s="4" t="inlineStr">
        <is>
          <t>N곡선</t>
        </is>
      </c>
      <c r="O8" t="n">
        <v>50</v>
      </c>
      <c r="P8" t="n">
        <v>1</v>
      </c>
    </row>
    <row r="9">
      <c r="A9" s="4" t="inlineStr">
        <is>
          <t>B4</t>
        </is>
      </c>
      <c r="B9" s="4" t="inlineStr">
        <is>
          <t>TB500M</t>
        </is>
      </c>
      <c r="C9" s="4" t="inlineStr">
        <is>
          <t>B0 kV</t>
        </is>
      </c>
      <c r="D9" s="4" t="n">
        <v>1</v>
      </c>
      <c r="E9" s="4" t="n">
        <v>32</v>
      </c>
      <c r="F9" s="5" t="n"/>
      <c r="G9" s="4" t="n">
        <v>26</v>
      </c>
      <c r="H9" s="6">
        <f>IFERROR(F9/G9,"")</f>
        <v/>
      </c>
      <c r="I9" s="5" t="n"/>
      <c r="J9" s="4" t="n">
        <v>6</v>
      </c>
      <c r="K9" s="5" t="n"/>
      <c r="L9" s="5" t="n"/>
      <c r="M9" s="7">
        <f>IF(F9="","",IF(AND(H9&gt;=0.97,H9&lt;=1.03,I9=J9),"PASS",IF(AND(H9&gt;=0.9,H9&lt;=1.05,I9=J9),"OK(마진)","FAIL")))</f>
        <v/>
      </c>
      <c r="N9" s="4" t="inlineStr">
        <is>
          <t>반복 — 재현성</t>
        </is>
      </c>
      <c r="O9" t="n">
        <v>50</v>
      </c>
      <c r="P9" t="n">
        <v>1</v>
      </c>
    </row>
    <row r="10">
      <c r="A10" s="4" t="inlineStr">
        <is>
          <t>B5</t>
        </is>
      </c>
      <c r="B10" s="4" t="inlineStr">
        <is>
          <t>TB500M</t>
        </is>
      </c>
      <c r="C10" s="4" t="inlineStr">
        <is>
          <t>B0 kV</t>
        </is>
      </c>
      <c r="D10" s="4" t="n">
        <v>1</v>
      </c>
      <c r="E10" s="4" t="n">
        <v>128</v>
      </c>
      <c r="F10" s="5" t="n"/>
      <c r="G10" s="4" t="n">
        <v>26</v>
      </c>
      <c r="H10" s="6">
        <f>IFERROR(F10/G10,"")</f>
        <v/>
      </c>
      <c r="I10" s="5" t="n"/>
      <c r="J10" s="4" t="n">
        <v>6</v>
      </c>
      <c r="K10" s="5" t="n"/>
      <c r="L10" s="5" t="n"/>
      <c r="M10" s="7">
        <f>IF(F10="","",IF(AND(H10&gt;=0.97,H10&lt;=1.03,I10=J10),"PASS",IF(AND(H10&gt;=0.9,H10&lt;=1.05,I10=J10),"OK(마진)","FAIL")))</f>
        <v/>
      </c>
      <c r="N10" s="4" t="inlineStr">
        <is>
          <t>Frame 상향(128) — void%σ, tact (장비 F최소=32라 하향 불가)</t>
        </is>
      </c>
      <c r="O10" t="n">
        <v>50</v>
      </c>
      <c r="P10" t="n">
        <v>1</v>
      </c>
    </row>
    <row r="11">
      <c r="A11" s="4" t="inlineStr">
        <is>
          <t>B6</t>
        </is>
      </c>
      <c r="B11" s="4" t="inlineStr">
        <is>
          <t>TB500M</t>
        </is>
      </c>
      <c r="C11" s="4" t="inlineStr">
        <is>
          <t>B0 kV</t>
        </is>
      </c>
      <c r="D11" s="4" t="n">
        <v>1</v>
      </c>
      <c r="E11" s="4" t="n">
        <v>64</v>
      </c>
      <c r="F11" s="5" t="n"/>
      <c r="G11" s="4" t="n">
        <v>26</v>
      </c>
      <c r="H11" s="6">
        <f>IFERROR(F11/G11,"")</f>
        <v/>
      </c>
      <c r="I11" s="5" t="n"/>
      <c r="J11" s="4" t="n">
        <v>6</v>
      </c>
      <c r="K11" s="5" t="n"/>
      <c r="L11" s="5" t="n"/>
      <c r="M11" s="7">
        <f>IF(F11="","",IF(AND(H11&gt;=0.97,H11&lt;=1.03,I11=J11),"PASS",IF(AND(H11&gt;=0.9,H11&lt;=1.05,I11=J11),"OK(마진)","FAIL")))</f>
        <v/>
      </c>
      <c r="N11" s="4" t="inlineStr">
        <is>
          <t>Frame 상향 — void%σ, tact</t>
        </is>
      </c>
      <c r="O11" t="n">
        <v>50</v>
      </c>
      <c r="P11" t="n">
        <v>1</v>
      </c>
    </row>
    <row r="12">
      <c r="A12" s="4" t="inlineStr">
        <is>
          <t>B4b</t>
        </is>
      </c>
      <c r="B12" s="4" t="inlineStr">
        <is>
          <t>TB500M</t>
        </is>
      </c>
      <c r="C12" s="4" t="inlineStr">
        <is>
          <t>B0 kV</t>
        </is>
      </c>
      <c r="D12" s="4" t="n">
        <v>2</v>
      </c>
      <c r="E12" s="4" t="n">
        <v>32</v>
      </c>
      <c r="F12" s="4" t="n"/>
      <c r="G12" s="4" t="n">
        <v>26</v>
      </c>
      <c r="H12" s="4" t="n"/>
      <c r="I12" s="4" t="n"/>
      <c r="J12" s="4" t="n">
        <v>6</v>
      </c>
      <c r="K12" s="4" t="n"/>
      <c r="L12" s="4" t="n"/>
      <c r="M12" s="4" t="n"/>
      <c r="N12" s="4" t="inlineStr">
        <is>
          <t>26px 아래 두번째 점(13px) — 취득R 상한 검증</t>
        </is>
      </c>
      <c r="O12" t="n">
        <v>50</v>
      </c>
      <c r="P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PhaseC_검증 — 모델 산출 운용조건 최종 검증 + tact 입증</t>
        </is>
      </c>
    </row>
    <row r="2">
      <c r="A2" s="2" t="inlineStr">
        <is>
          <t>고정: 모델(A·B 결과)로 kV*·R*·F* 산출 후 기입</t>
        </is>
      </c>
    </row>
    <row r="4">
      <c r="A4" s="3" t="inlineStr">
        <is>
          <t>Run</t>
        </is>
      </c>
      <c r="B4" s="3" t="inlineStr">
        <is>
          <t>자재</t>
        </is>
      </c>
      <c r="C4" s="3" t="inlineStr">
        <is>
          <t>kV</t>
        </is>
      </c>
      <c r="D4" s="3" t="inlineStr">
        <is>
          <t>R(µm/px)</t>
        </is>
      </c>
      <c r="E4" s="3" t="inlineStr">
        <is>
          <t>Frame</t>
        </is>
      </c>
      <c r="F4" s="3" t="inlineStr">
        <is>
          <t>측정직경(µm)</t>
        </is>
      </c>
      <c r="G4" s="3" t="inlineStr">
        <is>
          <t>nominal(µm)</t>
        </is>
      </c>
      <c r="H4" s="3" t="inlineStr">
        <is>
          <t>Q_dia(자동)</t>
        </is>
      </c>
      <c r="I4" s="3" t="inlineStr">
        <is>
          <t>매칭 성공die</t>
        </is>
      </c>
      <c r="J4" s="3" t="inlineStr">
        <is>
          <t>검사die수</t>
        </is>
      </c>
      <c r="K4" s="3" t="inlineStr">
        <is>
          <t>void%</t>
        </is>
      </c>
      <c r="L4" s="3" t="inlineStr">
        <is>
          <t>tact(초)</t>
        </is>
      </c>
      <c r="M4" s="3" t="inlineStr">
        <is>
          <t>판정(자동)</t>
        </is>
      </c>
      <c r="N4" s="3" t="inlineStr">
        <is>
          <t>메모</t>
        </is>
      </c>
      <c r="O4" s="8" t="inlineStr">
        <is>
          <t>검사범프수</t>
        </is>
      </c>
      <c r="P4" s="8" t="inlineStr">
        <is>
          <t>shot수</t>
        </is>
      </c>
    </row>
    <row r="5">
      <c r="A5" s="4" t="inlineStr">
        <is>
          <t>C1</t>
        </is>
      </c>
      <c r="B5" s="4" t="inlineStr">
        <is>
          <t>TB500M</t>
        </is>
      </c>
      <c r="C5" s="4" t="inlineStr">
        <is>
          <t>(모델 kV*)</t>
        </is>
      </c>
      <c r="D5" s="4" t="inlineStr">
        <is>
          <t>(R*=D√p/N)</t>
        </is>
      </c>
      <c r="E5" s="4" t="inlineStr">
        <is>
          <t>(F최소)</t>
        </is>
      </c>
      <c r="F5" s="5" t="n"/>
      <c r="G5" s="4" t="n">
        <v>26</v>
      </c>
      <c r="H5" s="6">
        <f>IFERROR(F5/G5,"")</f>
        <v/>
      </c>
      <c r="I5" s="5" t="n"/>
      <c r="J5" s="4" t="n">
        <v>6</v>
      </c>
      <c r="K5" s="5" t="n"/>
      <c r="L5" s="5" t="n"/>
      <c r="M5" s="7">
        <f>IF(F5="","",IF(AND(H5&gt;=0.97,H5&lt;=1.03,I5=J5),"PASS",IF(AND(H5&gt;=0.9,H5&lt;=1.05,I5=J5),"OK(마진)","FAIL")))</f>
        <v/>
      </c>
      <c r="N5" s="4" t="inlineStr">
        <is>
          <t>품질+시간 최종 확인</t>
        </is>
      </c>
      <c r="O5" t="n">
        <v>300</v>
      </c>
      <c r="P5">
        <f>ROUNDUP(300/50,0) 예상</f>
        <v/>
      </c>
    </row>
    <row r="6">
      <c r="A6" s="4" t="inlineStr">
        <is>
          <t>C2</t>
        </is>
      </c>
      <c r="B6" s="4" t="inlineStr">
        <is>
          <t>158µm</t>
        </is>
      </c>
      <c r="C6" s="4" t="inlineStr">
        <is>
          <t>(모델 kV*)</t>
        </is>
      </c>
      <c r="D6" s="4" t="n">
        <v>2</v>
      </c>
      <c r="E6" s="4" t="n">
        <v>32</v>
      </c>
      <c r="F6" s="5" t="n"/>
      <c r="G6" s="4" t="n">
        <v>158</v>
      </c>
      <c r="H6" s="6">
        <f>IFERROR(F6/G6,"")</f>
        <v/>
      </c>
      <c r="I6" s="5" t="n"/>
      <c r="J6" s="4" t="n">
        <v>6</v>
      </c>
      <c r="K6" s="5" t="n"/>
      <c r="L6" s="5" t="n"/>
      <c r="M6" s="7">
        <f>IF(F6="","",IF(AND(H6&gt;=0.97,H6&lt;=1.03,I6=J6),"PASS",IF(AND(H6&gt;=0.9,H6&lt;=1.05,I6=J6),"OK(마진)","FAIL")))</f>
        <v/>
      </c>
      <c r="N6" s="4" t="inlineStr">
        <is>
          <t>R 완화 → 검사시간 약 4배 단축 입증 / W는 PhaseW 최적값 사용</t>
        </is>
      </c>
      <c r="O6" t="n">
        <v>300</v>
      </c>
      <c r="P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자동 분석 (런 결과 입력 후 갱신)</t>
        </is>
      </c>
    </row>
    <row r="3">
      <c r="A3" s="8" t="inlineStr">
        <is>
          <t>TB500M 기울기 s (%p/kV)</t>
        </is>
      </c>
      <c r="B3" t="inlineStr">
        <is>
          <t>기존: (84.6-92.3)/2.5 = -3.1  |  A1 반영: (Q_A1−92.3%)/(57.5−60)</t>
        </is>
      </c>
    </row>
    <row r="4">
      <c r="A4" s="8" t="inlineStr">
        <is>
          <t>TB500M kV*</t>
        </is>
      </c>
      <c r="B4" t="inlineStr">
        <is>
          <t>60 + (100%−92.3%)/|s|  ≈ 57.2 (A1으로 검증)</t>
        </is>
      </c>
    </row>
    <row r="5">
      <c r="A5" s="8" t="inlineStr">
        <is>
          <t>158µm 기울기 s (%p/kV)</t>
        </is>
      </c>
      <c r="B5" t="inlineStr">
        <is>
          <t>(Q_A3 − Q_A2) / (63 − 60)</t>
        </is>
      </c>
    </row>
    <row r="6">
      <c r="A6" s="8" t="inlineStr">
        <is>
          <t>158µm 최적 kV</t>
        </is>
      </c>
      <c r="B6" t="inlineStr">
        <is>
          <t>직선상 측정직경/도면 = 100% 가 되는 kV</t>
        </is>
      </c>
    </row>
    <row r="7">
      <c r="A7" s="8" t="inlineStr">
        <is>
          <t>N_target</t>
        </is>
      </c>
      <c r="B7" t="inlineStr">
        <is>
          <t>B1~B3에서 void%가 기준(B0) 대비 ±ε 벗어나기 시작하는 R → N=D√p/R</t>
        </is>
      </c>
    </row>
    <row r="8">
      <c r="A8" s="8" t="inlineStr">
        <is>
          <t>F 최소값</t>
        </is>
      </c>
      <c r="B8" t="inlineStr">
        <is>
          <t>B5/B2·B4/B6의 void% 반복편차 σ 비교 — σ 허용되는 최소 F</t>
        </is>
      </c>
    </row>
    <row r="9">
      <c r="A9" s="8" t="inlineStr">
        <is>
          <t>tact 모델</t>
        </is>
      </c>
      <c r="B9" t="inlineStr">
        <is>
          <t>각 런 tact를 (1/R², F)에 회귀 → 계수 2개</t>
        </is>
      </c>
    </row>
    <row r="10">
      <c r="A10" s="8" t="inlineStr">
        <is>
          <t>W 최적값 (158µm)</t>
        </is>
      </c>
      <c r="B10" t="inlineStr">
        <is>
          <t>PhaseW: 깜빡임 void=0 &amp; void% 반복편차(σ) 최소가 되는 W. 얇은 26µm는 4W로 둔감→고정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PhaseW — Power 스윕 (158µm 전용, 26µm는 4W 고정)</t>
        </is>
      </c>
    </row>
    <row r="2">
      <c r="A2" s="2" t="inlineStr">
        <is>
          <t>고정: kV*(PhaseA 결과)·R(모델값)·F32, 같은 die·AOI·범프 추적 | W는 고정이 아니라 최적화 대상 — 판정: 깜빡임void 수·void%σ·수렴 + 가드(경계폭·Q_dia)</t>
        </is>
      </c>
    </row>
    <row r="4">
      <c r="A4" s="3" t="inlineStr">
        <is>
          <t>Run</t>
        </is>
      </c>
      <c r="B4" s="3" t="inlineStr">
        <is>
          <t>W</t>
        </is>
      </c>
      <c r="C4" s="3" t="inlineStr">
        <is>
          <t>F</t>
        </is>
      </c>
      <c r="D4" s="3" t="inlineStr">
        <is>
          <t>반복#</t>
        </is>
      </c>
      <c r="E4" s="3" t="inlineStr">
        <is>
          <t>측정직경(µm)</t>
        </is>
      </c>
      <c r="F4" s="3" t="inlineStr">
        <is>
          <t>nominal(µm)</t>
        </is>
      </c>
      <c r="G4" s="3" t="inlineStr">
        <is>
          <t>Q_dia(자동)</t>
        </is>
      </c>
      <c r="H4" s="3" t="inlineStr">
        <is>
          <t>매칭die</t>
        </is>
      </c>
      <c r="I4" s="3" t="inlineStr">
        <is>
          <t>검사die</t>
        </is>
      </c>
      <c r="J4" s="3" t="inlineStr">
        <is>
          <t>void%</t>
        </is>
      </c>
      <c r="K4" s="3" t="inlineStr">
        <is>
          <t>깜빡임void수</t>
        </is>
      </c>
      <c r="L4" s="3" t="inlineStr">
        <is>
          <t>경계폭(px)</t>
        </is>
      </c>
      <c r="M4" s="3" t="inlineStr">
        <is>
          <t>tact(초)</t>
        </is>
      </c>
      <c r="N4" s="3" t="inlineStr">
        <is>
          <t>메모</t>
        </is>
      </c>
    </row>
    <row r="5">
      <c r="A5" s="4" t="inlineStr">
        <is>
          <t>W1</t>
        </is>
      </c>
      <c r="B5" s="4" t="n">
        <v>4</v>
      </c>
      <c r="C5" s="4" t="n">
        <v>32</v>
      </c>
      <c r="D5" s="4" t="n">
        <v>1</v>
      </c>
      <c r="E5" s="5" t="n"/>
      <c r="F5" s="4" t="n">
        <v>158</v>
      </c>
      <c r="G5" s="6">
        <f>IFERROR(E5/F5,"")</f>
        <v/>
      </c>
      <c r="H5" s="5" t="n"/>
      <c r="I5" s="4" t="n">
        <v>6</v>
      </c>
      <c r="J5" s="5" t="n"/>
      <c r="K5" s="5" t="n"/>
      <c r="L5" s="5" t="n"/>
      <c r="M5" s="5" t="n"/>
      <c r="N5" s="4" t="inlineStr">
        <is>
          <t>기준점</t>
        </is>
      </c>
    </row>
    <row r="6">
      <c r="A6" s="4" t="inlineStr">
        <is>
          <t>W2</t>
        </is>
      </c>
      <c r="B6" s="4" t="n">
        <v>4</v>
      </c>
      <c r="C6" s="4" t="n">
        <v>32</v>
      </c>
      <c r="D6" s="4" t="n">
        <v>2</v>
      </c>
      <c r="E6" s="5" t="n"/>
      <c r="F6" s="4" t="n">
        <v>158</v>
      </c>
      <c r="G6" s="6">
        <f>IFERROR(E6/F6,"")</f>
        <v/>
      </c>
      <c r="H6" s="5" t="n"/>
      <c r="I6" s="4" t="n">
        <v>6</v>
      </c>
      <c r="J6" s="5" t="n"/>
      <c r="K6" s="5" t="n"/>
      <c r="L6" s="5" t="n"/>
      <c r="M6" s="5" t="n"/>
      <c r="N6" s="4" t="inlineStr"/>
    </row>
    <row r="7">
      <c r="A7" s="4" t="inlineStr">
        <is>
          <t>W3</t>
        </is>
      </c>
      <c r="B7" s="4" t="n">
        <v>4</v>
      </c>
      <c r="C7" s="4" t="n">
        <v>32</v>
      </c>
      <c r="D7" s="4" t="n">
        <v>3</v>
      </c>
      <c r="E7" s="5" t="n"/>
      <c r="F7" s="4" t="n">
        <v>158</v>
      </c>
      <c r="G7" s="6">
        <f>IFERROR(E7/F7,"")</f>
        <v/>
      </c>
      <c r="H7" s="5" t="n"/>
      <c r="I7" s="4" t="n">
        <v>6</v>
      </c>
      <c r="J7" s="5" t="n"/>
      <c r="K7" s="5" t="n"/>
      <c r="L7" s="5" t="n"/>
      <c r="M7" s="5" t="n"/>
      <c r="N7" s="4" t="inlineStr"/>
    </row>
    <row r="8">
      <c r="A8" s="4" t="inlineStr">
        <is>
          <t>W4</t>
        </is>
      </c>
      <c r="B8" s="4" t="n">
        <v>3</v>
      </c>
      <c r="C8" s="4" t="n">
        <v>32</v>
      </c>
      <c r="D8" s="4" t="n">
        <v>1</v>
      </c>
      <c r="E8" s="5" t="n"/>
      <c r="F8" s="4" t="n">
        <v>158</v>
      </c>
      <c r="G8" s="6">
        <f>IFERROR(E8/F8,"")</f>
        <v/>
      </c>
      <c r="H8" s="5" t="n"/>
      <c r="I8" s="4" t="n">
        <v>6</v>
      </c>
      <c r="J8" s="5" t="n"/>
      <c r="K8" s="5" t="n"/>
      <c r="L8" s="5" t="n"/>
      <c r="M8" s="5" t="n"/>
      <c r="N8" s="4" t="inlineStr">
        <is>
          <t>저측(악화방향 확인)</t>
        </is>
      </c>
    </row>
    <row r="9">
      <c r="A9" s="4" t="inlineStr">
        <is>
          <t>W5</t>
        </is>
      </c>
      <c r="B9" s="4" t="n">
        <v>5</v>
      </c>
      <c r="C9" s="4" t="n">
        <v>32</v>
      </c>
      <c r="D9" s="4" t="n">
        <v>1</v>
      </c>
      <c r="E9" s="5" t="n"/>
      <c r="F9" s="4" t="n">
        <v>158</v>
      </c>
      <c r="G9" s="6">
        <f>IFERROR(E9/F9,"")</f>
        <v/>
      </c>
      <c r="H9" s="5" t="n"/>
      <c r="I9" s="4" t="n">
        <v>6</v>
      </c>
      <c r="J9" s="5" t="n"/>
      <c r="K9" s="5" t="n"/>
      <c r="L9" s="5" t="n"/>
      <c r="M9" s="5" t="n"/>
      <c r="N9" s="4" t="inlineStr">
        <is>
          <t>중간점</t>
        </is>
      </c>
    </row>
    <row r="10">
      <c r="A10" s="4" t="inlineStr">
        <is>
          <t>W6</t>
        </is>
      </c>
      <c r="B10" s="4" t="n">
        <v>6</v>
      </c>
      <c r="C10" s="4" t="n">
        <v>32</v>
      </c>
      <c r="D10" s="4" t="n">
        <v>1</v>
      </c>
      <c r="E10" s="5" t="n"/>
      <c r="F10" s="4" t="n">
        <v>158</v>
      </c>
      <c r="G10" s="6">
        <f>IFERROR(E10/F10,"")</f>
        <v/>
      </c>
      <c r="H10" s="5" t="n"/>
      <c r="I10" s="4" t="n">
        <v>6</v>
      </c>
      <c r="J10" s="5" t="n"/>
      <c r="K10" s="5" t="n"/>
      <c r="L10" s="5" t="n"/>
      <c r="M10" s="5" t="n"/>
      <c r="N10" s="4" t="inlineStr">
        <is>
          <t>고측+블러가드</t>
        </is>
      </c>
    </row>
    <row r="11">
      <c r="A11" s="4" t="inlineStr">
        <is>
          <t>W7</t>
        </is>
      </c>
      <c r="B11" s="4" t="n">
        <v>6</v>
      </c>
      <c r="C11" s="4" t="n">
        <v>32</v>
      </c>
      <c r="D11" s="4" t="n">
        <v>2</v>
      </c>
      <c r="E11" s="5" t="n"/>
      <c r="F11" s="4" t="n">
        <v>158</v>
      </c>
      <c r="G11" s="6">
        <f>IFERROR(E11/F11,"")</f>
        <v/>
      </c>
      <c r="H11" s="5" t="n"/>
      <c r="I11" s="4" t="n">
        <v>6</v>
      </c>
      <c r="J11" s="5" t="n"/>
      <c r="K11" s="5" t="n"/>
      <c r="L11" s="5" t="n"/>
      <c r="M11" s="5" t="n"/>
      <c r="N11" s="4" t="inlineStr"/>
    </row>
    <row r="12">
      <c r="A12" s="4" t="inlineStr">
        <is>
          <t>W8</t>
        </is>
      </c>
      <c r="B12" s="4" t="n">
        <v>6</v>
      </c>
      <c r="C12" s="4" t="n">
        <v>32</v>
      </c>
      <c r="D12" s="4" t="n">
        <v>3</v>
      </c>
      <c r="E12" s="5" t="n"/>
      <c r="F12" s="4" t="n">
        <v>158</v>
      </c>
      <c r="G12" s="6">
        <f>IFERROR(E12/F12,"")</f>
        <v/>
      </c>
      <c r="H12" s="5" t="n"/>
      <c r="I12" s="4" t="n">
        <v>6</v>
      </c>
      <c r="J12" s="5" t="n"/>
      <c r="K12" s="5" t="n"/>
      <c r="L12" s="5" t="n"/>
      <c r="M12" s="5" t="n"/>
      <c r="N12" s="4" t="inlineStr"/>
    </row>
    <row r="13">
      <c r="A13" s="4" t="inlineStr">
        <is>
          <t>W9</t>
        </is>
      </c>
      <c r="B13" s="4" t="inlineStr">
        <is>
          <t>8(허용시)</t>
        </is>
      </c>
      <c r="C13" s="4" t="n">
        <v>32</v>
      </c>
      <c r="D13" s="4" t="n">
        <v>1</v>
      </c>
      <c r="E13" s="5" t="n"/>
      <c r="F13" s="4" t="n">
        <v>158</v>
      </c>
      <c r="G13" s="6">
        <f>IFERROR(E13/F13,"")</f>
        <v/>
      </c>
      <c r="H13" s="5" t="n"/>
      <c r="I13" s="4" t="n">
        <v>6</v>
      </c>
      <c r="J13" s="5" t="n"/>
      <c r="K13" s="5" t="n"/>
      <c r="L13" s="5" t="n"/>
      <c r="M13" s="5" t="n"/>
      <c r="N13" s="4" t="inlineStr">
        <is>
          <t>W·F 교환검증: 8W로 F 64→32 가능한지 (4W·F64와 void% 비교, F최소=32)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7" customWidth="1" min="4" max="4"/>
    <col width="7" customWidth="1" min="5" max="5"/>
    <col width="7" customWidth="1" min="6" max="6"/>
    <col width="9" customWidth="1" min="7" max="7"/>
    <col width="11" customWidth="1" min="8" max="8"/>
    <col width="13" customWidth="1" min="9" max="9"/>
    <col width="9" customWidth="1" min="10" max="10"/>
    <col width="13" customWidth="1" min="11" max="11"/>
    <col width="13" customWidth="1" min="12" max="12"/>
    <col width="16" customWidth="1" min="13" max="13"/>
    <col width="34" customWidth="1" min="14" max="14"/>
  </cols>
  <sheetData>
    <row r="1">
      <c r="A1" s="8" t="inlineStr">
        <is>
          <t>Shot 타일 일관성 대조 — '6번 찍기 vs 1번 찍기'가 결과를 바꾸는지 직접 검증</t>
        </is>
      </c>
    </row>
    <row r="2">
      <c r="A2" s="10" t="inlineStr">
        <is>
          <t>질문: R0.2로 6 shot(타일) 찍은 것과 R1로 1 shot 찍은 것을 그대로 비교해도 되나? → R 효과와 shot(타일) 효과가 섞이지 않게, R을 고정하고 shot 수만 바꿔 타일 자체의 영향을 분리한다.</t>
        </is>
      </c>
    </row>
    <row r="4">
      <c r="A4" s="8" t="inlineStr">
        <is>
          <t>Run</t>
        </is>
      </c>
      <c r="B4" s="8" t="inlineStr">
        <is>
          <t>자재</t>
        </is>
      </c>
      <c r="C4" s="8" t="inlineStr">
        <is>
          <t>R(µm/px)</t>
        </is>
      </c>
      <c r="D4" s="8" t="inlineStr">
        <is>
          <t>kV</t>
        </is>
      </c>
      <c r="E4" s="8" t="inlineStr">
        <is>
          <t>Frame</t>
        </is>
      </c>
      <c r="F4" s="8" t="inlineStr">
        <is>
          <t>W</t>
        </is>
      </c>
      <c r="G4" s="8" t="inlineStr">
        <is>
          <t>목표범프</t>
        </is>
      </c>
      <c r="H4" s="8" t="inlineStr">
        <is>
          <t>shot수(타일)</t>
        </is>
      </c>
      <c r="I4" s="8" t="inlineStr">
        <is>
          <t>측정직경(µm)</t>
        </is>
      </c>
      <c r="J4" s="8" t="inlineStr">
        <is>
          <t>nominal</t>
        </is>
      </c>
      <c r="K4" s="8" t="inlineStr">
        <is>
          <t>Q_dia(자동)</t>
        </is>
      </c>
      <c r="L4" s="8" t="inlineStr">
        <is>
          <t>void%(범프별)</t>
        </is>
      </c>
      <c r="M4" s="8" t="inlineStr">
        <is>
          <t>void%차이 vs 기준</t>
        </is>
      </c>
      <c r="N4" s="8" t="inlineStr">
        <is>
          <t>판정</t>
        </is>
      </c>
    </row>
    <row r="5">
      <c r="A5" t="inlineStr">
        <is>
          <t>S1</t>
        </is>
      </c>
      <c r="B5" t="inlineStr">
        <is>
          <t>TB500M</t>
        </is>
      </c>
      <c r="C5" t="n">
        <v>1</v>
      </c>
      <c r="D5" t="inlineStr">
        <is>
          <t>kV*</t>
        </is>
      </c>
      <c r="E5" t="n">
        <v>32</v>
      </c>
      <c r="F5" t="n">
        <v>4</v>
      </c>
      <c r="G5" t="n">
        <v>300</v>
      </c>
      <c r="H5" t="n">
        <v>1</v>
      </c>
      <c r="J5" t="n">
        <v>26</v>
      </c>
      <c r="K5">
        <f>IFERROR(I5/J5,"")</f>
        <v/>
      </c>
      <c r="M5" t="inlineStr">
        <is>
          <t>기준(1 shot)</t>
        </is>
      </c>
      <c r="N5" t="inlineStr">
        <is>
          <t>단일 shot 기준값</t>
        </is>
      </c>
    </row>
    <row r="6">
      <c r="A6" t="inlineStr">
        <is>
          <t>S2</t>
        </is>
      </c>
      <c r="B6" t="inlineStr">
        <is>
          <t>TB500M</t>
        </is>
      </c>
      <c r="C6" t="n">
        <v>1</v>
      </c>
      <c r="D6" t="inlineStr">
        <is>
          <t>kV*</t>
        </is>
      </c>
      <c r="E6" t="n">
        <v>32</v>
      </c>
      <c r="F6" t="n">
        <v>4</v>
      </c>
      <c r="G6" t="n">
        <v>300</v>
      </c>
      <c r="H6" t="n">
        <v>6</v>
      </c>
      <c r="J6" t="n">
        <v>26</v>
      </c>
      <c r="K6">
        <f>IFERROR(I6/J6,"")</f>
        <v/>
      </c>
      <c r="M6" t="inlineStr">
        <is>
          <t>S1과 범프별 비교</t>
        </is>
      </c>
      <c r="N6" t="inlineStr">
        <is>
          <t>같은 R·같은 범프를 억지로 6타일로 → 타일 순수효과</t>
        </is>
      </c>
    </row>
    <row r="7">
      <c r="A7" t="inlineStr">
        <is>
          <t>S3</t>
        </is>
      </c>
      <c r="B7" t="inlineStr">
        <is>
          <t>158µm</t>
        </is>
      </c>
      <c r="C7" t="n">
        <v>1</v>
      </c>
      <c r="D7" t="inlineStr">
        <is>
          <t>kV*</t>
        </is>
      </c>
      <c r="E7" t="n">
        <v>32</v>
      </c>
      <c r="F7" t="inlineStr">
        <is>
          <t>W*</t>
        </is>
      </c>
      <c r="G7" t="n">
        <v>300</v>
      </c>
      <c r="H7" t="n">
        <v>1</v>
      </c>
      <c r="J7" t="n">
        <v>158</v>
      </c>
      <c r="K7">
        <f>IFERROR(I7/J7,"")</f>
        <v/>
      </c>
      <c r="M7" t="inlineStr">
        <is>
          <t>기준(1 shot)</t>
        </is>
      </c>
    </row>
    <row r="8">
      <c r="A8" t="inlineStr">
        <is>
          <t>S4</t>
        </is>
      </c>
      <c r="B8" t="inlineStr">
        <is>
          <t>158µm</t>
        </is>
      </c>
      <c r="C8" t="n">
        <v>1</v>
      </c>
      <c r="D8" t="inlineStr">
        <is>
          <t>kV*</t>
        </is>
      </c>
      <c r="E8" t="n">
        <v>32</v>
      </c>
      <c r="F8" t="inlineStr">
        <is>
          <t>W*</t>
        </is>
      </c>
      <c r="G8" t="n">
        <v>300</v>
      </c>
      <c r="H8" t="n">
        <v>6</v>
      </c>
      <c r="J8" t="n">
        <v>158</v>
      </c>
      <c r="K8">
        <f>IFERROR(I8/J8,"")</f>
        <v/>
      </c>
      <c r="M8" t="inlineStr">
        <is>
          <t>S3과 범프별 비교</t>
        </is>
      </c>
      <c r="N8" t="inlineStr">
        <is>
          <t>두꺼운 범프에서도 재확인</t>
        </is>
      </c>
    </row>
    <row r="11">
      <c r="A11" s="9" t="inlineStr">
        <is>
          <t>판정: S2−S1(및 S4−S3)의 '범프별 void% 차이'가 ε·p(예 ±0.8%p) 이내면 타일이 결과를 바꾸지 않음 → 6 shot 데이터와 1 shot 데이터를 함께 써도 일관성 유지. 초과하면 → 타일 경계·콘빔 가장자리 영향 존재 → 타일 겹침(≥1 pitch)·중앙 범프만 사용 규칙 적용, 서로 다른 shot수 데이터는 직접 비교 금지.</t>
        </is>
      </c>
    </row>
    <row r="12"/>
    <row r="13"/>
    <row r="14"/>
  </sheetData>
  <mergeCells count="2">
    <mergeCell ref="A2:N2"/>
    <mergeCell ref="A11:N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2026-07-04T09:40:43Z</dcterms:created>
  <dcterms:modified xmlns:dcterms="http://purl.org/dc/terms/" xmlns:xsi="http://www.w3.org/2001/XMLSchema-instance" xsi:type="dcterms:W3CDTF">2026-07-05T14:21:53Z</dcterms:modified>
</cp:coreProperties>
</file>