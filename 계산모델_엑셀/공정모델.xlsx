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설계근거" sheetId="1" state="visible" r:id="rId1"/>
    <sheet xmlns:r="http://schemas.openxmlformats.org/officeDocument/2006/relationships" name="런결과입력" sheetId="2" state="visible" r:id="rId2"/>
    <sheet xmlns:r="http://schemas.openxmlformats.org/officeDocument/2006/relationships" name="계수fit" sheetId="3" state="visible" r:id="rId3"/>
    <sheet xmlns:r="http://schemas.openxmlformats.org/officeDocument/2006/relationships" name="시각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i val="1"/>
      <color rgb="00777777"/>
      <sz val="9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vs Q_dia (A 런 입력 시 갱신)</a:t>
            </a:r>
          </a:p>
        </rich>
      </tx>
    </title>
    <plotArea>
      <scatterChart>
        <ser>
          <idx val="0"/>
          <order val="0"/>
          <tx>
            <v>Q_dia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'런결과입력'!$E$2:$E$17</f>
            </numRef>
          </xVal>
          <yVal>
            <numRef>
              <f>'런결과입력'!$J$2:$J$17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Q_dia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8572500" cy="4752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8572500" cy="714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1" t="inlineStr">
        <is>
          <t>공정 모델링 — DOE 설계 근거 (상세는 DOE_MASTER_PLAN.md)</t>
        </is>
      </c>
    </row>
    <row r="3" ht="40" customHeight="1">
      <c r="A3" s="2" t="inlineStr">
        <is>
          <t>목표</t>
        </is>
      </c>
      <c r="B3" s="3" t="inlineStr">
        <is>
          <t>최소 tact로 '적당한 품질' 유지: minimize tact(R,F)  s.t.  매칭=100%, Q_dia 0.97~1.03, void오차≤ε</t>
        </is>
      </c>
    </row>
    <row r="4" ht="40" customHeight="1">
      <c r="A4" s="2" t="inlineStr">
        <is>
          <t>왜 이 DOE인가</t>
        </is>
      </c>
      <c r="B4" s="3" t="inlineStr">
        <is>
          <t>모델의 미지수(계수)를 역산해 미지수 1개당 최소 런만 배정. 이미 확보한 점(26µm kV 4점, 양산 60kV 대량)은 재사용.</t>
        </is>
      </c>
    </row>
    <row r="5" ht="40" customHeight="1">
      <c r="A5" s="2" t="inlineStr">
        <is>
          <t>교란 통제</t>
        </is>
      </c>
      <c r="B5" s="3" t="inlineStr">
        <is>
          <t>오퍼레이터의 취득 생략 관행 때문에 기존 매칭률은 CAD 신선도와 교란 → P0에서 같은 웨이퍼·같은 조건·신선도만 바꿔 분리(사전등록 판정규칙: ΔM≥2die=1차요인).</t>
        </is>
      </c>
    </row>
    <row r="6" ht="40" customHeight="1">
      <c r="A6" s="2" t="inlineStr">
        <is>
          <t>확정되는 계수</t>
        </is>
      </c>
      <c r="B6" s="3" t="inlineStr">
        <is>
          <t>① kV직선(기울기 s, 최적 kV*) ← Phase A  ② void 최소픽셀 N_target ← Phase B  ③ 범프검출 하한 N_detect ← B3·B4  ④ 최소 Frame ← F1·F2  ⑤ 검사시간 계수 a,b ← 전 런 타임스탬프  ⑥ 두꺼운 범프 최적 W ← PhaseW (W는 고정 아님)</t>
        </is>
      </c>
    </row>
    <row r="7" ht="40" customHeight="1">
      <c r="A7" s="2" t="inlineStr">
        <is>
          <t>측정점 논리</t>
        </is>
      </c>
      <c r="B7" s="3" t="inlineStr">
        <is>
          <t>kV: 창 밖(55·65) 실측으로 범위 제한 후 직선에 3점째만 추가 / R: 로그 등간격 5점, 2.0은 미지영역 / Frame: √F 물리라 배수 3점 / 158µm: 데이터 0 → 2점 직선(60·63kV)+이식검증 1점 / W: 158µm에서 깜빡임void·σ가 최소가 되는 값 탐색(26µm는 둔감→4W)</t>
        </is>
      </c>
    </row>
    <row r="8" ht="40" customHeight="1">
      <c r="A8" s="2" t="inlineStr">
        <is>
          <t>응답변수</t>
        </is>
      </c>
      <c r="B8" s="3" t="inlineStr">
        <is>
          <t>매칭률, Q_dia(측정직경/도면), void%(기준=최미세R 대비), void%σ(반복), tact — 매 런 자동 산출</t>
        </is>
      </c>
    </row>
    <row r="9" ht="40" customHeight="1">
      <c r="A9" s="2" t="inlineStr">
        <is>
          <t>총 런수</t>
        </is>
      </c>
      <c r="B9" s="3" t="inlineStr">
        <is>
          <t>26~28런 (P0 2~4, A 2~4, B 6~7, F 2, T 1, C 2, W 9(158µm)). 얇은 범프는 W 고정(4W), 두꺼운 범프만 W 스윕.</t>
        </is>
      </c>
    </row>
    <row r="10">
      <c r="A10" s="12" t="inlineStr">
        <is>
          <t>shot·검사량</t>
        </is>
      </c>
      <c r="B10" s="13" t="inlineStr">
        <is>
          <t>R이 FOV(촬영영역)를 정해 shot당 범프 수 ∝ R²(pitch 영향은 검사성공률 관점에서 작다고 보아 미반영). 검사시간 ∝ shot 수. 품질 실험은 '가장 작은 R에서도 1 shot에 드는 중앙 ~50개 범프'만 추적해 shot 교란 제거. 별도 대조(S1·S2: 같은 R, 1 shot vs 6타일)로 타일 자체 영향 검증. 최소 표본 ~50개. ※ R0.2→50개는 아직 미확정 예시치 — 장비 실측 후 갱신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>
        <is>
          <t>Run</t>
        </is>
      </c>
      <c r="B1" s="4" t="inlineStr">
        <is>
          <t>Phase</t>
        </is>
      </c>
      <c r="C1" s="4" t="inlineStr">
        <is>
          <t>자재</t>
        </is>
      </c>
      <c r="D1" s="4" t="inlineStr">
        <is>
          <t>CAD신선도</t>
        </is>
      </c>
      <c r="E1" s="4" t="inlineStr">
        <is>
          <t>kV</t>
        </is>
      </c>
      <c r="F1" s="4" t="inlineStr">
        <is>
          <t>R</t>
        </is>
      </c>
      <c r="G1" s="4" t="inlineStr">
        <is>
          <t>Frame</t>
        </is>
      </c>
      <c r="H1" s="4" t="inlineStr">
        <is>
          <t>측정직경(µm)</t>
        </is>
      </c>
      <c r="I1" s="4" t="inlineStr">
        <is>
          <t>nominal(µm)</t>
        </is>
      </c>
      <c r="J1" s="4" t="inlineStr">
        <is>
          <t>Q_dia</t>
        </is>
      </c>
      <c r="K1" s="4" t="inlineStr">
        <is>
          <t>매칭die</t>
        </is>
      </c>
      <c r="L1" s="4" t="inlineStr">
        <is>
          <t>검사die</t>
        </is>
      </c>
      <c r="M1" s="4" t="inlineStr">
        <is>
          <t>void%</t>
        </is>
      </c>
      <c r="N1" s="4" t="inlineStr">
        <is>
          <t>tact(초)</t>
        </is>
      </c>
      <c r="O1" s="4" t="inlineStr">
        <is>
          <t>메모</t>
        </is>
      </c>
      <c r="P1" s="12" t="inlineStr">
        <is>
          <t>W</t>
        </is>
      </c>
      <c r="Q1" s="12" t="inlineStr">
        <is>
          <t>검사범프수</t>
        </is>
      </c>
      <c r="R1" s="12" t="inlineStr">
        <is>
          <t>shot수</t>
        </is>
      </c>
    </row>
    <row r="2">
      <c r="A2" s="5" t="inlineStr">
        <is>
          <t>P1</t>
        </is>
      </c>
      <c r="B2" s="5" t="inlineStr">
        <is>
          <t>P0</t>
        </is>
      </c>
      <c r="C2" s="5" t="inlineStr">
        <is>
          <t>26µm</t>
        </is>
      </c>
      <c r="D2" s="5" t="inlineStr">
        <is>
          <t>재사용</t>
        </is>
      </c>
      <c r="E2" s="5" t="n">
        <v>60</v>
      </c>
      <c r="F2" s="5" t="n">
        <v>1</v>
      </c>
      <c r="G2" s="5" t="n">
        <v>32</v>
      </c>
      <c r="H2" s="6" t="n"/>
      <c r="I2" s="5" t="n">
        <v>26</v>
      </c>
      <c r="J2" s="7">
        <f>IFERROR(H2/I2,"")</f>
        <v/>
      </c>
      <c r="K2" s="6" t="n"/>
      <c r="L2" s="5" t="n">
        <v>6</v>
      </c>
      <c r="M2" s="6" t="n"/>
      <c r="N2" s="6" t="n"/>
      <c r="O2" s="5" t="n"/>
      <c r="P2" t="n">
        <v>4</v>
      </c>
      <c r="Q2" t="n">
        <v>50</v>
      </c>
      <c r="R2" t="n">
        <v>1</v>
      </c>
    </row>
    <row r="3">
      <c r="A3" s="5" t="inlineStr">
        <is>
          <t>P2</t>
        </is>
      </c>
      <c r="B3" s="5" t="inlineStr">
        <is>
          <t>P0</t>
        </is>
      </c>
      <c r="C3" s="5" t="inlineStr">
        <is>
          <t>26µm</t>
        </is>
      </c>
      <c r="D3" s="5" t="inlineStr">
        <is>
          <t>신규</t>
        </is>
      </c>
      <c r="E3" s="5" t="n">
        <v>60</v>
      </c>
      <c r="F3" s="5" t="n">
        <v>1</v>
      </c>
      <c r="G3" s="5" t="n">
        <v>32</v>
      </c>
      <c r="H3" s="6" t="n"/>
      <c r="I3" s="5" t="n">
        <v>26</v>
      </c>
      <c r="J3" s="7">
        <f>IFERROR(H3/I3,"")</f>
        <v/>
      </c>
      <c r="K3" s="6" t="n"/>
      <c r="L3" s="5" t="n">
        <v>6</v>
      </c>
      <c r="M3" s="6" t="n"/>
      <c r="N3" s="6" t="n"/>
      <c r="O3" s="5" t="n"/>
      <c r="P3" t="n">
        <v>4</v>
      </c>
      <c r="Q3" t="n">
        <v>50</v>
      </c>
      <c r="R3" t="n">
        <v>1</v>
      </c>
    </row>
    <row r="4">
      <c r="A4" s="5" t="inlineStr">
        <is>
          <t>A1</t>
        </is>
      </c>
      <c r="B4" s="5" t="inlineStr">
        <is>
          <t>A</t>
        </is>
      </c>
      <c r="C4" s="5" t="inlineStr">
        <is>
          <t>26µm</t>
        </is>
      </c>
      <c r="D4" s="5" t="inlineStr">
        <is>
          <t>신규</t>
        </is>
      </c>
      <c r="E4" s="5" t="n">
        <v>57.5</v>
      </c>
      <c r="F4" s="5" t="n">
        <v>1</v>
      </c>
      <c r="G4" s="5" t="n">
        <v>32</v>
      </c>
      <c r="H4" s="6" t="n"/>
      <c r="I4" s="5" t="n">
        <v>26</v>
      </c>
      <c r="J4" s="7">
        <f>IFERROR(H4/I4,"")</f>
        <v/>
      </c>
      <c r="K4" s="6" t="n"/>
      <c r="L4" s="5" t="n">
        <v>6</v>
      </c>
      <c r="M4" s="6" t="n"/>
      <c r="N4" s="6" t="n"/>
      <c r="O4" s="5" t="n"/>
      <c r="P4" t="n">
        <v>4</v>
      </c>
      <c r="Q4" t="n">
        <v>50</v>
      </c>
      <c r="R4" t="n">
        <v>1</v>
      </c>
    </row>
    <row r="5">
      <c r="A5" s="5" t="inlineStr">
        <is>
          <t>A2</t>
        </is>
      </c>
      <c r="B5" s="5" t="inlineStr">
        <is>
          <t>A</t>
        </is>
      </c>
      <c r="C5" s="5" t="inlineStr">
        <is>
          <t>158µm</t>
        </is>
      </c>
      <c r="D5" s="5" t="inlineStr">
        <is>
          <t>신규</t>
        </is>
      </c>
      <c r="E5" s="5" t="n">
        <v>60</v>
      </c>
      <c r="F5" s="5" t="n">
        <v>1</v>
      </c>
      <c r="G5" s="5" t="n">
        <v>32</v>
      </c>
      <c r="H5" s="6" t="n"/>
      <c r="I5" s="5" t="n">
        <v>158</v>
      </c>
      <c r="J5" s="7">
        <f>IFERROR(H5/I5,"")</f>
        <v/>
      </c>
      <c r="K5" s="6" t="n"/>
      <c r="L5" s="5" t="n">
        <v>6</v>
      </c>
      <c r="M5" s="6" t="n"/>
      <c r="N5" s="6" t="n"/>
      <c r="O5" s="5" t="n"/>
      <c r="P5" t="n">
        <v>4</v>
      </c>
      <c r="Q5" t="n">
        <v>50</v>
      </c>
      <c r="R5" t="n">
        <v>1</v>
      </c>
    </row>
    <row r="6">
      <c r="A6" s="5" t="inlineStr">
        <is>
          <t>A3</t>
        </is>
      </c>
      <c r="B6" s="5" t="inlineStr">
        <is>
          <t>A</t>
        </is>
      </c>
      <c r="C6" s="5" t="inlineStr">
        <is>
          <t>158µm</t>
        </is>
      </c>
      <c r="D6" s="5" t="inlineStr">
        <is>
          <t>신규</t>
        </is>
      </c>
      <c r="E6" s="5" t="n">
        <v>63</v>
      </c>
      <c r="F6" s="5" t="n">
        <v>1</v>
      </c>
      <c r="G6" s="5" t="n">
        <v>32</v>
      </c>
      <c r="H6" s="6" t="n"/>
      <c r="I6" s="5" t="n">
        <v>158</v>
      </c>
      <c r="J6" s="7">
        <f>IFERROR(H6/I6,"")</f>
        <v/>
      </c>
      <c r="K6" s="6" t="n"/>
      <c r="L6" s="5" t="n">
        <v>6</v>
      </c>
      <c r="M6" s="6" t="n"/>
      <c r="N6" s="6" t="n"/>
      <c r="O6" s="5" t="n"/>
      <c r="P6" t="n">
        <v>4</v>
      </c>
      <c r="Q6" t="n">
        <v>50</v>
      </c>
      <c r="R6" t="n">
        <v>1</v>
      </c>
    </row>
    <row r="7">
      <c r="A7" s="5" t="inlineStr">
        <is>
          <t>B0</t>
        </is>
      </c>
      <c r="B7" s="5" t="inlineStr">
        <is>
          <t>B</t>
        </is>
      </c>
      <c r="C7" s="5" t="inlineStr">
        <is>
          <t>26µm</t>
        </is>
      </c>
      <c r="D7" s="5" t="inlineStr">
        <is>
          <t>신규</t>
        </is>
      </c>
      <c r="E7" s="5" t="inlineStr">
        <is>
          <t>트림</t>
        </is>
      </c>
      <c r="F7" s="5" t="n">
        <v>0.2</v>
      </c>
      <c r="G7" s="5" t="n">
        <v>32</v>
      </c>
      <c r="H7" s="6" t="n"/>
      <c r="I7" s="5" t="n">
        <v>26</v>
      </c>
      <c r="J7" s="7">
        <f>IFERROR(H7/I7,"")</f>
        <v/>
      </c>
      <c r="K7" s="6" t="n"/>
      <c r="L7" s="5" t="n">
        <v>6</v>
      </c>
      <c r="M7" s="6" t="n"/>
      <c r="N7" s="6" t="n"/>
      <c r="O7" s="5" t="n"/>
      <c r="P7" t="n">
        <v>4</v>
      </c>
      <c r="Q7" t="n">
        <v>50</v>
      </c>
      <c r="R7" t="n">
        <v>1</v>
      </c>
    </row>
    <row r="8">
      <c r="A8" s="5" t="inlineStr">
        <is>
          <t>B1</t>
        </is>
      </c>
      <c r="B8" s="5" t="inlineStr">
        <is>
          <t>B</t>
        </is>
      </c>
      <c r="C8" s="5" t="inlineStr">
        <is>
          <t>26µm</t>
        </is>
      </c>
      <c r="D8" s="5" t="inlineStr">
        <is>
          <t>신규</t>
        </is>
      </c>
      <c r="E8" s="5" t="inlineStr">
        <is>
          <t>B0값</t>
        </is>
      </c>
      <c r="F8" s="5" t="n">
        <v>0.6</v>
      </c>
      <c r="G8" s="5" t="n">
        <v>32</v>
      </c>
      <c r="H8" s="6" t="n"/>
      <c r="I8" s="5" t="n">
        <v>26</v>
      </c>
      <c r="J8" s="7">
        <f>IFERROR(H8/I8,"")</f>
        <v/>
      </c>
      <c r="K8" s="6" t="n"/>
      <c r="L8" s="5" t="n">
        <v>6</v>
      </c>
      <c r="M8" s="6" t="n"/>
      <c r="N8" s="6" t="n"/>
      <c r="O8" s="5" t="n"/>
      <c r="P8" t="n">
        <v>4</v>
      </c>
      <c r="Q8" t="n">
        <v>50</v>
      </c>
      <c r="R8" t="n">
        <v>1</v>
      </c>
    </row>
    <row r="9">
      <c r="A9" s="5" t="inlineStr">
        <is>
          <t>B2</t>
        </is>
      </c>
      <c r="B9" s="5" t="inlineStr">
        <is>
          <t>B</t>
        </is>
      </c>
      <c r="C9" s="5" t="inlineStr">
        <is>
          <t>26µm</t>
        </is>
      </c>
      <c r="D9" s="5" t="inlineStr">
        <is>
          <t>신규</t>
        </is>
      </c>
      <c r="E9" s="5" t="inlineStr">
        <is>
          <t>B0값</t>
        </is>
      </c>
      <c r="F9" s="5" t="n">
        <v>1</v>
      </c>
      <c r="G9" s="5" t="n">
        <v>32</v>
      </c>
      <c r="H9" s="6" t="n"/>
      <c r="I9" s="5" t="n">
        <v>26</v>
      </c>
      <c r="J9" s="7">
        <f>IFERROR(H9/I9,"")</f>
        <v/>
      </c>
      <c r="K9" s="6" t="n"/>
      <c r="L9" s="5" t="n">
        <v>6</v>
      </c>
      <c r="M9" s="6" t="n"/>
      <c r="N9" s="6" t="n"/>
      <c r="O9" s="5" t="n"/>
      <c r="P9" t="n">
        <v>4</v>
      </c>
      <c r="Q9" t="n">
        <v>50</v>
      </c>
      <c r="R9" t="n">
        <v>1</v>
      </c>
    </row>
    <row r="10">
      <c r="A10" s="5" t="inlineStr">
        <is>
          <t>B3</t>
        </is>
      </c>
      <c r="B10" s="5" t="inlineStr">
        <is>
          <t>B</t>
        </is>
      </c>
      <c r="C10" s="5" t="inlineStr">
        <is>
          <t>26µm</t>
        </is>
      </c>
      <c r="D10" s="5" t="inlineStr">
        <is>
          <t>신규</t>
        </is>
      </c>
      <c r="E10" s="5" t="inlineStr">
        <is>
          <t>B0값</t>
        </is>
      </c>
      <c r="F10" s="5" t="n">
        <v>1.6</v>
      </c>
      <c r="G10" s="5" t="n">
        <v>32</v>
      </c>
      <c r="H10" s="6" t="n"/>
      <c r="I10" s="5" t="n">
        <v>26</v>
      </c>
      <c r="J10" s="7">
        <f>IFERROR(H10/I10,"")</f>
        <v/>
      </c>
      <c r="K10" s="6" t="n"/>
      <c r="L10" s="5" t="n">
        <v>6</v>
      </c>
      <c r="M10" s="6" t="n"/>
      <c r="N10" s="6" t="n"/>
      <c r="O10" s="5" t="n"/>
      <c r="P10" t="n">
        <v>4</v>
      </c>
      <c r="Q10" t="n">
        <v>50</v>
      </c>
      <c r="R10" t="n">
        <v>1</v>
      </c>
    </row>
    <row r="11">
      <c r="A11" s="5" t="inlineStr">
        <is>
          <t>B4</t>
        </is>
      </c>
      <c r="B11" s="5" t="inlineStr">
        <is>
          <t>B</t>
        </is>
      </c>
      <c r="C11" s="5" t="inlineStr">
        <is>
          <t>26µm</t>
        </is>
      </c>
      <c r="D11" s="5" t="inlineStr">
        <is>
          <t>신규</t>
        </is>
      </c>
      <c r="E11" s="5" t="inlineStr">
        <is>
          <t>B0값</t>
        </is>
      </c>
      <c r="F11" s="5" t="n">
        <v>2</v>
      </c>
      <c r="G11" s="5" t="n">
        <v>32</v>
      </c>
      <c r="H11" s="6" t="n"/>
      <c r="I11" s="5" t="n">
        <v>26</v>
      </c>
      <c r="J11" s="7">
        <f>IFERROR(H11/I11,"")</f>
        <v/>
      </c>
      <c r="K11" s="6" t="n"/>
      <c r="L11" s="5" t="n">
        <v>6</v>
      </c>
      <c r="M11" s="6" t="n"/>
      <c r="N11" s="6" t="n"/>
      <c r="O11" s="5" t="n"/>
      <c r="P11" t="n">
        <v>4</v>
      </c>
      <c r="Q11" t="n">
        <v>50</v>
      </c>
      <c r="R11" t="n">
        <v>1</v>
      </c>
    </row>
    <row r="12">
      <c r="A12" s="5" t="inlineStr">
        <is>
          <t>B5</t>
        </is>
      </c>
      <c r="B12" s="5" t="inlineStr">
        <is>
          <t>B</t>
        </is>
      </c>
      <c r="C12" s="5" t="inlineStr">
        <is>
          <t>26µm</t>
        </is>
      </c>
      <c r="D12" s="5" t="inlineStr">
        <is>
          <t>신규</t>
        </is>
      </c>
      <c r="E12" s="5" t="inlineStr">
        <is>
          <t>B0값</t>
        </is>
      </c>
      <c r="F12" s="5" t="n">
        <v>1</v>
      </c>
      <c r="G12" s="5" t="n">
        <v>32</v>
      </c>
      <c r="H12" s="6" t="n"/>
      <c r="I12" s="5" t="n">
        <v>26</v>
      </c>
      <c r="J12" s="7">
        <f>IFERROR(H12/I12,"")</f>
        <v/>
      </c>
      <c r="K12" s="6" t="n"/>
      <c r="L12" s="5" t="n">
        <v>6</v>
      </c>
      <c r="M12" s="6" t="n"/>
      <c r="N12" s="6" t="n"/>
      <c r="O12" s="5" t="n"/>
      <c r="P12" t="n">
        <v>4</v>
      </c>
      <c r="Q12" t="n">
        <v>50</v>
      </c>
      <c r="R12" t="n">
        <v>1</v>
      </c>
    </row>
    <row r="13">
      <c r="A13" s="5" t="inlineStr">
        <is>
          <t>F1</t>
        </is>
      </c>
      <c r="B13" s="5" t="inlineStr">
        <is>
          <t>F</t>
        </is>
      </c>
      <c r="C13" s="5" t="inlineStr">
        <is>
          <t>26µm</t>
        </is>
      </c>
      <c r="D13" s="5" t="inlineStr">
        <is>
          <t>신규</t>
        </is>
      </c>
      <c r="E13" s="5" t="inlineStr">
        <is>
          <t>B0값</t>
        </is>
      </c>
      <c r="F13" s="5" t="n">
        <v>1</v>
      </c>
      <c r="G13" s="5" t="n">
        <v>16</v>
      </c>
      <c r="H13" s="6" t="n"/>
      <c r="I13" s="5" t="n">
        <v>26</v>
      </c>
      <c r="J13" s="7">
        <f>IFERROR(H13/I13,"")</f>
        <v/>
      </c>
      <c r="K13" s="6" t="n"/>
      <c r="L13" s="5" t="n">
        <v>6</v>
      </c>
      <c r="M13" s="6" t="n"/>
      <c r="N13" s="6" t="n"/>
      <c r="O13" s="5" t="n"/>
      <c r="P13" t="n">
        <v>4</v>
      </c>
      <c r="Q13" t="n">
        <v>50</v>
      </c>
      <c r="R13" t="n">
        <v>1</v>
      </c>
    </row>
    <row r="14">
      <c r="A14" s="5" t="inlineStr">
        <is>
          <t>F2</t>
        </is>
      </c>
      <c r="B14" s="5" t="inlineStr">
        <is>
          <t>F</t>
        </is>
      </c>
      <c r="C14" s="5" t="inlineStr">
        <is>
          <t>26µm</t>
        </is>
      </c>
      <c r="D14" s="5" t="inlineStr">
        <is>
          <t>신규</t>
        </is>
      </c>
      <c r="E14" s="5" t="inlineStr">
        <is>
          <t>B0값</t>
        </is>
      </c>
      <c r="F14" s="5" t="n">
        <v>1</v>
      </c>
      <c r="G14" s="5" t="n">
        <v>64</v>
      </c>
      <c r="H14" s="6" t="n"/>
      <c r="I14" s="5" t="n">
        <v>26</v>
      </c>
      <c r="J14" s="7">
        <f>IFERROR(H14/I14,"")</f>
        <v/>
      </c>
      <c r="K14" s="6" t="n"/>
      <c r="L14" s="5" t="n">
        <v>6</v>
      </c>
      <c r="M14" s="6" t="n"/>
      <c r="N14" s="6" t="n"/>
      <c r="O14" s="5" t="n"/>
      <c r="P14" t="n">
        <v>4</v>
      </c>
      <c r="Q14" t="n">
        <v>50</v>
      </c>
      <c r="R14" t="n">
        <v>1</v>
      </c>
    </row>
    <row r="15">
      <c r="A15" s="5" t="inlineStr">
        <is>
          <t>T1</t>
        </is>
      </c>
      <c r="B15" s="5" t="inlineStr">
        <is>
          <t>T</t>
        </is>
      </c>
      <c r="C15" s="5" t="inlineStr">
        <is>
          <t>158µm</t>
        </is>
      </c>
      <c r="D15" s="5" t="inlineStr">
        <is>
          <t>신규</t>
        </is>
      </c>
      <c r="E15" s="5" t="inlineStr">
        <is>
          <t>kV*</t>
        </is>
      </c>
      <c r="F15" s="5" t="n">
        <v>2.2</v>
      </c>
      <c r="G15" s="5" t="n">
        <v>32</v>
      </c>
      <c r="H15" s="6" t="n"/>
      <c r="I15" s="5" t="n">
        <v>158</v>
      </c>
      <c r="J15" s="7">
        <f>IFERROR(H15/I15,"")</f>
        <v/>
      </c>
      <c r="K15" s="6" t="n"/>
      <c r="L15" s="5" t="n">
        <v>6</v>
      </c>
      <c r="M15" s="6" t="n"/>
      <c r="N15" s="6" t="n"/>
      <c r="O15" s="5" t="n"/>
      <c r="P15" t="inlineStr">
        <is>
          <t>모델W</t>
        </is>
      </c>
      <c r="Q15" t="n">
        <v>300</v>
      </c>
      <c r="R15" t="inlineStr">
        <is>
          <t>R따라</t>
        </is>
      </c>
    </row>
    <row r="16">
      <c r="A16" s="5" t="inlineStr">
        <is>
          <t>C1</t>
        </is>
      </c>
      <c r="B16" s="5" t="inlineStr">
        <is>
          <t>C</t>
        </is>
      </c>
      <c r="C16" s="5" t="inlineStr">
        <is>
          <t>26µm</t>
        </is>
      </c>
      <c r="D16" s="5" t="inlineStr">
        <is>
          <t>신규</t>
        </is>
      </c>
      <c r="E16" s="5" t="inlineStr">
        <is>
          <t>모델값</t>
        </is>
      </c>
      <c r="F16" s="5" t="inlineStr">
        <is>
          <t>모델값</t>
        </is>
      </c>
      <c r="G16" s="5" t="inlineStr">
        <is>
          <t>F_min</t>
        </is>
      </c>
      <c r="H16" s="6" t="n"/>
      <c r="I16" s="5" t="n">
        <v>26</v>
      </c>
      <c r="J16" s="7">
        <f>IFERROR(H16/I16,"")</f>
        <v/>
      </c>
      <c r="K16" s="6" t="n"/>
      <c r="L16" s="5" t="n">
        <v>6</v>
      </c>
      <c r="M16" s="6" t="n"/>
      <c r="N16" s="6" t="n"/>
      <c r="O16" s="5" t="n"/>
      <c r="P16" t="n">
        <v>4</v>
      </c>
      <c r="Q16" t="n">
        <v>300</v>
      </c>
      <c r="R16" t="inlineStr">
        <is>
          <t>R따라</t>
        </is>
      </c>
    </row>
    <row r="17">
      <c r="A17" s="5" t="inlineStr">
        <is>
          <t>C2</t>
        </is>
      </c>
      <c r="B17" s="5" t="inlineStr">
        <is>
          <t>C</t>
        </is>
      </c>
      <c r="C17" s="5" t="inlineStr">
        <is>
          <t>158µm</t>
        </is>
      </c>
      <c r="D17" s="5" t="inlineStr">
        <is>
          <t>신규</t>
        </is>
      </c>
      <c r="E17" s="5" t="inlineStr">
        <is>
          <t>모델값</t>
        </is>
      </c>
      <c r="F17" s="5" t="inlineStr">
        <is>
          <t>모델값</t>
        </is>
      </c>
      <c r="G17" s="5" t="n">
        <v>32</v>
      </c>
      <c r="H17" s="6" t="n"/>
      <c r="I17" s="5" t="n">
        <v>158</v>
      </c>
      <c r="J17" s="7">
        <f>IFERROR(H17/I17,"")</f>
        <v/>
      </c>
      <c r="K17" s="6" t="n"/>
      <c r="L17" s="5" t="n">
        <v>6</v>
      </c>
      <c r="M17" s="6" t="n"/>
      <c r="N17" s="6" t="n"/>
      <c r="O17" s="5" t="n"/>
      <c r="P17" t="inlineStr">
        <is>
          <t>모델W</t>
        </is>
      </c>
      <c r="Q17" t="n">
        <v>300</v>
      </c>
      <c r="R17" t="inlineStr">
        <is>
          <t>R따라</t>
        </is>
      </c>
    </row>
    <row r="18">
      <c r="A18" t="inlineStr">
        <is>
          <t>W1~3</t>
        </is>
      </c>
      <c r="B18" t="inlineStr">
        <is>
          <t>W</t>
        </is>
      </c>
      <c r="C18" t="inlineStr">
        <is>
          <t>158µm</t>
        </is>
      </c>
      <c r="D18" t="inlineStr">
        <is>
          <t>신규</t>
        </is>
      </c>
      <c r="E18" t="inlineStr">
        <is>
          <t>kV*</t>
        </is>
      </c>
      <c r="F18" t="inlineStr">
        <is>
          <t>모델R</t>
        </is>
      </c>
      <c r="G18" t="n">
        <v>32</v>
      </c>
      <c r="I18" t="n">
        <v>158</v>
      </c>
      <c r="J18">
        <f>IFERROR(H18/I18,"")</f>
        <v/>
      </c>
      <c r="L18" t="n">
        <v>6</v>
      </c>
      <c r="O18" t="inlineStr">
        <is>
          <t>기준점 3반복 — 깜빡임void·void%σ</t>
        </is>
      </c>
      <c r="P18" t="n">
        <v>4</v>
      </c>
      <c r="Q18" t="n">
        <v>50</v>
      </c>
      <c r="R18" t="n">
        <v>1</v>
      </c>
    </row>
    <row r="19">
      <c r="A19" t="inlineStr">
        <is>
          <t>W4</t>
        </is>
      </c>
      <c r="B19" t="inlineStr">
        <is>
          <t>W</t>
        </is>
      </c>
      <c r="C19" t="inlineStr">
        <is>
          <t>158µm</t>
        </is>
      </c>
      <c r="D19" t="inlineStr">
        <is>
          <t>신규</t>
        </is>
      </c>
      <c r="E19" t="inlineStr">
        <is>
          <t>kV*</t>
        </is>
      </c>
      <c r="F19" t="inlineStr">
        <is>
          <t>모델R</t>
        </is>
      </c>
      <c r="G19" t="n">
        <v>32</v>
      </c>
      <c r="I19" t="n">
        <v>158</v>
      </c>
      <c r="J19">
        <f>IFERROR(H19/I19,"")</f>
        <v/>
      </c>
      <c r="L19" t="n">
        <v>6</v>
      </c>
      <c r="O19" t="inlineStr">
        <is>
          <t>저측(악화 방향 확인)</t>
        </is>
      </c>
      <c r="P19" t="n">
        <v>3</v>
      </c>
      <c r="Q19" t="n">
        <v>50</v>
      </c>
      <c r="R19" t="n">
        <v>1</v>
      </c>
    </row>
    <row r="20">
      <c r="A20" t="inlineStr">
        <is>
          <t>W5</t>
        </is>
      </c>
      <c r="B20" t="inlineStr">
        <is>
          <t>W</t>
        </is>
      </c>
      <c r="C20" t="inlineStr">
        <is>
          <t>158µm</t>
        </is>
      </c>
      <c r="D20" t="inlineStr">
        <is>
          <t>신규</t>
        </is>
      </c>
      <c r="E20" t="inlineStr">
        <is>
          <t>kV*</t>
        </is>
      </c>
      <c r="F20" t="inlineStr">
        <is>
          <t>모델R</t>
        </is>
      </c>
      <c r="G20" t="n">
        <v>32</v>
      </c>
      <c r="I20" t="n">
        <v>158</v>
      </c>
      <c r="J20">
        <f>IFERROR(H20/I20,"")</f>
        <v/>
      </c>
      <c r="L20" t="n">
        <v>6</v>
      </c>
      <c r="O20" t="inlineStr">
        <is>
          <t>중간점</t>
        </is>
      </c>
      <c r="P20" t="n">
        <v>5</v>
      </c>
      <c r="Q20" t="n">
        <v>50</v>
      </c>
      <c r="R20" t="n">
        <v>1</v>
      </c>
    </row>
    <row r="21">
      <c r="A21" t="inlineStr">
        <is>
          <t>W6~8</t>
        </is>
      </c>
      <c r="B21" t="inlineStr">
        <is>
          <t>W</t>
        </is>
      </c>
      <c r="C21" t="inlineStr">
        <is>
          <t>158µm</t>
        </is>
      </c>
      <c r="D21" t="inlineStr">
        <is>
          <t>신규</t>
        </is>
      </c>
      <c r="E21" t="inlineStr">
        <is>
          <t>kV*</t>
        </is>
      </c>
      <c r="F21" t="inlineStr">
        <is>
          <t>모델R</t>
        </is>
      </c>
      <c r="G21" t="n">
        <v>32</v>
      </c>
      <c r="I21" t="n">
        <v>158</v>
      </c>
      <c r="J21">
        <f>IFERROR(H21/I21,"")</f>
        <v/>
      </c>
      <c r="L21" t="n">
        <v>6</v>
      </c>
      <c r="O21" t="inlineStr">
        <is>
          <t>고측 3반복 + 블러 가드</t>
        </is>
      </c>
      <c r="P21" t="n">
        <v>6</v>
      </c>
      <c r="Q21" t="n">
        <v>50</v>
      </c>
      <c r="R21" t="n">
        <v>1</v>
      </c>
    </row>
    <row r="22">
      <c r="A22" t="inlineStr">
        <is>
          <t>W9</t>
        </is>
      </c>
      <c r="B22" t="inlineStr">
        <is>
          <t>W</t>
        </is>
      </c>
      <c r="C22" t="inlineStr">
        <is>
          <t>158µm</t>
        </is>
      </c>
      <c r="D22" t="inlineStr">
        <is>
          <t>신규</t>
        </is>
      </c>
      <c r="E22" t="inlineStr">
        <is>
          <t>kV*</t>
        </is>
      </c>
      <c r="F22" t="inlineStr">
        <is>
          <t>모델R</t>
        </is>
      </c>
      <c r="G22" t="n">
        <v>16</v>
      </c>
      <c r="I22" t="n">
        <v>158</v>
      </c>
      <c r="J22">
        <f>IFERROR(H22/I22,"")</f>
        <v/>
      </c>
      <c r="L22" t="n">
        <v>6</v>
      </c>
      <c r="O22" t="inlineStr">
        <is>
          <t>W·F 교환검증: (4W,F32)와 void% 비교</t>
        </is>
      </c>
      <c r="P22" t="inlineStr">
        <is>
          <t>8(허용시)</t>
        </is>
      </c>
      <c r="Q22" t="n">
        <v>50</v>
      </c>
      <c r="R22" t="n">
        <v>1</v>
      </c>
    </row>
    <row r="23">
      <c r="A23" t="inlineStr">
        <is>
          <t>S1</t>
        </is>
      </c>
      <c r="B23" t="inlineStr">
        <is>
          <t>S</t>
        </is>
      </c>
      <c r="C23" t="inlineStr">
        <is>
          <t>26µm</t>
        </is>
      </c>
      <c r="D23" t="inlineStr">
        <is>
          <t>신규</t>
        </is>
      </c>
      <c r="E23" t="inlineStr">
        <is>
          <t>kV*</t>
        </is>
      </c>
      <c r="F23" t="n">
        <v>1</v>
      </c>
      <c r="G23" t="n">
        <v>32</v>
      </c>
      <c r="I23" t="n">
        <v>26</v>
      </c>
      <c r="J23">
        <f>IFERROR(H23/I23,"")</f>
        <v/>
      </c>
      <c r="L23" t="n">
        <v>50</v>
      </c>
      <c r="O23" t="inlineStr">
        <is>
          <t>단일 shot 기준</t>
        </is>
      </c>
      <c r="P23" t="n">
        <v>4</v>
      </c>
      <c r="Q23" t="n">
        <v>300</v>
      </c>
      <c r="R23" t="n">
        <v>1</v>
      </c>
    </row>
    <row r="24">
      <c r="A24" t="inlineStr">
        <is>
          <t>S2</t>
        </is>
      </c>
      <c r="B24" t="inlineStr">
        <is>
          <t>S</t>
        </is>
      </c>
      <c r="C24" t="inlineStr">
        <is>
          <t>26µm</t>
        </is>
      </c>
      <c r="D24" t="inlineStr">
        <is>
          <t>신규</t>
        </is>
      </c>
      <c r="E24" t="inlineStr">
        <is>
          <t>kV*</t>
        </is>
      </c>
      <c r="F24" t="n">
        <v>1</v>
      </c>
      <c r="G24" t="n">
        <v>32</v>
      </c>
      <c r="I24" t="n">
        <v>26</v>
      </c>
      <c r="J24">
        <f>IFERROR(H24/I24,"")</f>
        <v/>
      </c>
      <c r="L24" t="n">
        <v>50</v>
      </c>
      <c r="O24" t="inlineStr">
        <is>
          <t>같은 R·범프 6타일 → 타일 순수효과</t>
        </is>
      </c>
      <c r="P24" t="n">
        <v>4</v>
      </c>
      <c r="Q24" t="n">
        <v>300</v>
      </c>
      <c r="R2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5" customWidth="1" min="3" max="3"/>
  </cols>
  <sheetData>
    <row r="1">
      <c r="A1" s="1" t="inlineStr">
        <is>
          <t>계수 자동 산출 (런결과입력을 채우면 갱신)</t>
        </is>
      </c>
    </row>
    <row r="3" ht="30" customHeight="1">
      <c r="A3" s="2" t="inlineStr">
        <is>
          <t>26µm 기울기 s (%p/kV)</t>
        </is>
      </c>
      <c r="B3" s="8">
        <f>IFERROR((런결과입력!J4-0.923)/(런결과입력!E4-60),"A1 대기")</f>
        <v/>
      </c>
      <c r="C3" s="9" t="inlineStr">
        <is>
          <t>기존 60kV(Q92.3%)와 A1(57.5kV)을 잇는 직선 기울기 — 기존 −3.1과 비교</t>
        </is>
      </c>
    </row>
    <row r="4" ht="30" customHeight="1">
      <c r="A4" s="2" t="inlineStr">
        <is>
          <t>26µm kV*</t>
        </is>
      </c>
      <c r="B4" s="8">
        <f>IFERROR(60+(1-0.923)/ABS((런결과입력!J4-0.923)/(런결과입력!E4-60)),"A1 대기")</f>
        <v/>
      </c>
      <c r="C4" s="9" t="inlineStr">
        <is>
          <t>Q=100% 지점</t>
        </is>
      </c>
    </row>
    <row r="5" ht="30" customHeight="1">
      <c r="A5" s="2" t="inlineStr">
        <is>
          <t>158µm 기울기 s</t>
        </is>
      </c>
      <c r="B5" s="8">
        <f>IFERROR((런결과입력!J6-런결과입력!J5)/(런결과입력!E6-런결과입력!E5),"A2·A3 대기")</f>
        <v/>
      </c>
      <c r="C5" s="9" t="inlineStr">
        <is>
          <t>60·63kV 2점 직선</t>
        </is>
      </c>
    </row>
    <row r="6" ht="30" customHeight="1">
      <c r="A6" s="2" t="inlineStr">
        <is>
          <t>158µm kV*</t>
        </is>
      </c>
      <c r="B6" s="8">
        <f>IFERROR(런결과입력!E5+(1-런결과입력!J5)/((런결과입력!J6-런결과입력!J5)/(런결과입력!E6-런결과입력!E5)),"A2·A3 대기")</f>
        <v/>
      </c>
      <c r="C6" s="9" t="inlineStr">
        <is>
          <t>직선상 Q=100% 지점</t>
        </is>
      </c>
    </row>
    <row r="7" ht="30" customHeight="1">
      <c r="A7" s="2" t="inlineStr">
        <is>
          <t>N_target (실측)</t>
        </is>
      </c>
      <c r="B7" s="6" t="inlineStr">
        <is>
          <t>수동판독</t>
        </is>
      </c>
      <c r="C7" s="9" t="inlineStr">
        <is>
          <t>B0~B4의 void%를 R별로 비교 — 기준(B0) 대비 ±ε 벗어나기 시작하는 R에서 N=D√p/R 계산해 기입</t>
        </is>
      </c>
    </row>
    <row r="8" ht="30" customHeight="1">
      <c r="A8" s="2" t="inlineStr">
        <is>
          <t>N_detect (실측)</t>
        </is>
      </c>
      <c r="B8" s="6" t="inlineStr">
        <is>
          <t>수동판독</t>
        </is>
      </c>
      <c r="C8" s="9" t="inlineStr">
        <is>
          <t>B3(16px)·B4(13px)의 매칭 결과 — 매칭 유지되는 최소 px 기입</t>
        </is>
      </c>
    </row>
    <row r="9" ht="30" customHeight="1">
      <c r="A9" s="2" t="inlineStr">
        <is>
          <t>F_min</t>
        </is>
      </c>
      <c r="B9" s="6" t="inlineStr">
        <is>
          <t>수동판독</t>
        </is>
      </c>
      <c r="C9" s="9" t="inlineStr">
        <is>
          <t>F1(16)·B2/B5(32)·F2(64)의 void% 반복편차 비교 — σ 허용 최소 F 기입</t>
        </is>
      </c>
    </row>
    <row r="10" ht="30" customHeight="1">
      <c r="A10" s="2" t="inlineStr">
        <is>
          <t>tact 계수 a, b (shot 기반)</t>
        </is>
      </c>
      <c r="B10" s="6" t="inlineStr">
        <is>
          <t>LINEST 사용</t>
        </is>
      </c>
      <c r="C10" s="9" t="inlineStr">
        <is>
          <t>tact = a·(shot수·Frame) + b 로 회귀(기울기=a, 절편=b). shot수=ROUNDUP(목표범프/‌(R²에 비례하는 shot당범프)). → 레시피모델.xlsx '보정계수'에 기입</t>
        </is>
      </c>
    </row>
    <row r="11">
      <c r="A11" s="12" t="inlineStr">
        <is>
          <t>W 최적값 (158µm)</t>
        </is>
      </c>
      <c r="B11" t="inlineStr">
        <is>
          <t>수동판독</t>
        </is>
      </c>
      <c r="C11" s="13" t="inlineStr">
        <is>
          <t>PhaseW: 깜빡임 void=0 &amp; void%σ 최소가 되는 W (얇은 26µm는 4W 고정)</t>
        </is>
      </c>
    </row>
    <row r="12">
      <c r="A12" s="10" t="inlineStr">
        <is>
          <t>→ 확정된 계수는 레시피모델.xlsx '보정계수' 시트에 옮겨 적으면 레시피 모델 완성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기존 데이터 시각자료 (DOE 설계의 근거)</t>
        </is>
      </c>
    </row>
    <row r="2">
      <c r="A2" s="11" t="inlineStr">
        <is>
          <t>① 범프당 픽셀 vs 매칭 성공률(기존 데이터, CAD신선도 교란 포함 — P0·B에서 확정)  ② 전압별 이미지 비교  ③ R별 경계 비교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2026-07-04T15:25:16Z</dcterms:created>
  <dcterms:modified xmlns:dcterms="http://purl.org/dc/terms/" xmlns:xsi="http://www.w3.org/2001/XMLSchema-instance" xsi:type="dcterms:W3CDTF">2026-07-05T07:49:12Z</dcterms:modified>
</cp:coreProperties>
</file>