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험1_kV스윕" sheetId="1" state="visible" r:id="rId1"/>
    <sheet xmlns:r="http://schemas.openxmlformats.org/officeDocument/2006/relationships" name="실험3_Acq절감" sheetId="2" state="visible" r:id="rId2"/>
    <sheet xmlns:r="http://schemas.openxmlformats.org/officeDocument/2006/relationships" name="실험2_AnaR스윕" sheetId="3" state="visible" r:id="rId3"/>
    <sheet xmlns:r="http://schemas.openxmlformats.org/officeDocument/2006/relationships" name="실험4_Frame재현성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777777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실험1_kV스윕 — kV 창(중심·폭) 찾기 — 1kV 간격</t>
        </is>
      </c>
    </row>
    <row r="2">
      <c r="A2" s="2" t="inlineStr">
        <is>
          <t>고정 조건: R_ana=계산기값, Frame 64(ana)/32(acq), Power 4W</t>
        </is>
      </c>
    </row>
    <row r="4">
      <c r="A4" s="3" t="inlineStr">
        <is>
          <t>Run</t>
        </is>
      </c>
      <c r="B4" s="3" t="inlineStr">
        <is>
          <t>kV</t>
        </is>
      </c>
      <c r="C4" s="3" t="inlineStr">
        <is>
          <t>측정직경(µm)</t>
        </is>
      </c>
      <c r="D4" s="3" t="inlineStr">
        <is>
          <t>nominal(µm)</t>
        </is>
      </c>
      <c r="E4" s="3" t="inlineStr">
        <is>
          <t>Q_dia(자동)</t>
        </is>
      </c>
      <c r="F4" s="3" t="inlineStr">
        <is>
          <t>매칭 성공die</t>
        </is>
      </c>
      <c r="G4" s="3" t="inlineStr">
        <is>
          <t>검사die수</t>
        </is>
      </c>
      <c r="H4" s="3" t="inlineStr">
        <is>
          <t>void%</t>
        </is>
      </c>
      <c r="I4" s="3" t="inlineStr">
        <is>
          <t>tact(초)</t>
        </is>
      </c>
      <c r="J4" s="3" t="inlineStr">
        <is>
          <t>판정(자동)</t>
        </is>
      </c>
      <c r="K4" s="3" t="inlineStr">
        <is>
          <t>메모</t>
        </is>
      </c>
    </row>
    <row r="5">
      <c r="A5" s="4" t="inlineStr">
        <is>
          <t>1-1</t>
        </is>
      </c>
      <c r="B5" s="4" t="n">
        <v>57</v>
      </c>
      <c r="C5" s="5" t="n"/>
      <c r="D5" s="4" t="n">
        <v>26</v>
      </c>
      <c r="E5" s="6">
        <f>IFERROR(C5/D5,"")</f>
        <v/>
      </c>
      <c r="F5" s="5" t="n"/>
      <c r="G5" s="4" t="n">
        <v>6</v>
      </c>
      <c r="H5" s="5" t="n"/>
      <c r="I5" s="5" t="n"/>
      <c r="J5" s="7">
        <f>IF(C5="","",IF(AND(E5&gt;=0.9,E5&lt;=1.05,F5=G5),"PASS","FAIL"))</f>
        <v/>
      </c>
      <c r="K5" s="5" t="n"/>
    </row>
    <row r="6">
      <c r="A6" s="4" t="inlineStr">
        <is>
          <t>1-2</t>
        </is>
      </c>
      <c r="B6" s="4" t="n">
        <v>58</v>
      </c>
      <c r="C6" s="5" t="n"/>
      <c r="D6" s="4" t="n">
        <v>26</v>
      </c>
      <c r="E6" s="6">
        <f>IFERROR(C6/D6,"")</f>
        <v/>
      </c>
      <c r="F6" s="5" t="n"/>
      <c r="G6" s="4" t="n">
        <v>6</v>
      </c>
      <c r="H6" s="5" t="n"/>
      <c r="I6" s="5" t="n"/>
      <c r="J6" s="7">
        <f>IF(C6="","",IF(AND(E6&gt;=0.9,E6&lt;=1.05,F6=G6),"PASS","FAIL"))</f>
        <v/>
      </c>
      <c r="K6" s="5" t="n"/>
    </row>
    <row r="7">
      <c r="A7" s="4" t="inlineStr">
        <is>
          <t>1-3</t>
        </is>
      </c>
      <c r="B7" s="4" t="n">
        <v>59</v>
      </c>
      <c r="C7" s="5" t="n"/>
      <c r="D7" s="4" t="n">
        <v>26</v>
      </c>
      <c r="E7" s="6">
        <f>IFERROR(C7/D7,"")</f>
        <v/>
      </c>
      <c r="F7" s="5" t="n"/>
      <c r="G7" s="4" t="n">
        <v>6</v>
      </c>
      <c r="H7" s="5" t="n"/>
      <c r="I7" s="5" t="n"/>
      <c r="J7" s="7">
        <f>IF(C7="","",IF(AND(E7&gt;=0.9,E7&lt;=1.05,F7=G7),"PASS","FAIL"))</f>
        <v/>
      </c>
      <c r="K7" s="5" t="n"/>
    </row>
    <row r="8">
      <c r="A8" s="4" t="inlineStr">
        <is>
          <t>1-4</t>
        </is>
      </c>
      <c r="B8" s="4" t="n">
        <v>60</v>
      </c>
      <c r="C8" s="5" t="n"/>
      <c r="D8" s="4" t="n">
        <v>26</v>
      </c>
      <c r="E8" s="6">
        <f>IFERROR(C8/D8,"")</f>
        <v/>
      </c>
      <c r="F8" s="5" t="n"/>
      <c r="G8" s="4" t="n">
        <v>6</v>
      </c>
      <c r="H8" s="5" t="n"/>
      <c r="I8" s="5" t="n"/>
      <c r="J8" s="7">
        <f>IF(C8="","",IF(AND(E8&gt;=0.9,E8&lt;=1.05,F8=G8),"PASS","FAIL"))</f>
        <v/>
      </c>
      <c r="K8" s="5" t="n"/>
    </row>
    <row r="9">
      <c r="A9" s="4" t="inlineStr">
        <is>
          <t>1-5</t>
        </is>
      </c>
      <c r="B9" s="4" t="n">
        <v>61</v>
      </c>
      <c r="C9" s="5" t="n"/>
      <c r="D9" s="4" t="n">
        <v>26</v>
      </c>
      <c r="E9" s="6">
        <f>IFERROR(C9/D9,"")</f>
        <v/>
      </c>
      <c r="F9" s="5" t="n"/>
      <c r="G9" s="4" t="n">
        <v>6</v>
      </c>
      <c r="H9" s="5" t="n"/>
      <c r="I9" s="5" t="n"/>
      <c r="J9" s="7">
        <f>IF(C9="","",IF(AND(E9&gt;=0.9,E9&lt;=1.05,F9=G9),"PASS","FAIL"))</f>
        <v/>
      </c>
      <c r="K9" s="5" t="n"/>
    </row>
    <row r="10">
      <c r="A10" s="4" t="inlineStr">
        <is>
          <t>1-6</t>
        </is>
      </c>
      <c r="B10" s="4" t="n">
        <v>62</v>
      </c>
      <c r="C10" s="5" t="n"/>
      <c r="D10" s="4" t="n">
        <v>26</v>
      </c>
      <c r="E10" s="6">
        <f>IFERROR(C10/D10,"")</f>
        <v/>
      </c>
      <c r="F10" s="5" t="n"/>
      <c r="G10" s="4" t="n">
        <v>6</v>
      </c>
      <c r="H10" s="5" t="n"/>
      <c r="I10" s="5" t="n"/>
      <c r="J10" s="7">
        <f>IF(C10="","",IF(AND(E10&gt;=0.9,E10&lt;=1.05,F10=G10),"PASS","FAIL"))</f>
        <v/>
      </c>
      <c r="K10" s="5" t="n"/>
    </row>
    <row r="11">
      <c r="A11" s="4" t="inlineStr">
        <is>
          <t>1-7</t>
        </is>
      </c>
      <c r="B11" s="4" t="n">
        <v>63</v>
      </c>
      <c r="C11" s="5" t="n"/>
      <c r="D11" s="4" t="n">
        <v>26</v>
      </c>
      <c r="E11" s="6">
        <f>IFERROR(C11/D11,"")</f>
        <v/>
      </c>
      <c r="F11" s="5" t="n"/>
      <c r="G11" s="4" t="n">
        <v>6</v>
      </c>
      <c r="H11" s="5" t="n"/>
      <c r="I11" s="5" t="n"/>
      <c r="J11" s="7">
        <f>IF(C11="","",IF(AND(E11&gt;=0.9,E11&lt;=1.05,F11=G11),"PASS","FAIL"))</f>
        <v/>
      </c>
      <c r="K11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5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실험3_Acq절감 — Acquisition Frame×R 하한 — 시간 최대 절감원</t>
        </is>
      </c>
    </row>
    <row r="2">
      <c r="A2" s="2" t="inlineStr">
        <is>
          <t>고정 조건: kV=실험1 결과, Analysis 전부 고정</t>
        </is>
      </c>
    </row>
    <row r="4">
      <c r="A4" s="3" t="inlineStr">
        <is>
          <t>Run</t>
        </is>
      </c>
      <c r="B4" s="3" t="inlineStr">
        <is>
          <t>Acq Frame</t>
        </is>
      </c>
      <c r="C4" s="3" t="inlineStr">
        <is>
          <t>Acq R</t>
        </is>
      </c>
      <c r="D4" s="3" t="inlineStr">
        <is>
          <t>측정직경(µm)</t>
        </is>
      </c>
      <c r="E4" s="3" t="inlineStr">
        <is>
          <t>nominal(µm)</t>
        </is>
      </c>
      <c r="F4" s="3" t="inlineStr">
        <is>
          <t>Q_dia(자동)</t>
        </is>
      </c>
      <c r="G4" s="3" t="inlineStr">
        <is>
          <t>매칭 성공die</t>
        </is>
      </c>
      <c r="H4" s="3" t="inlineStr">
        <is>
          <t>검사die수</t>
        </is>
      </c>
      <c r="I4" s="3" t="inlineStr">
        <is>
          <t>void%</t>
        </is>
      </c>
      <c r="J4" s="3" t="inlineStr">
        <is>
          <t>tact(초)</t>
        </is>
      </c>
      <c r="K4" s="3" t="inlineStr">
        <is>
          <t>판정(자동)</t>
        </is>
      </c>
      <c r="L4" s="3" t="inlineStr">
        <is>
          <t>메모</t>
        </is>
      </c>
    </row>
    <row r="5">
      <c r="A5" s="4" t="inlineStr">
        <is>
          <t>3-1</t>
        </is>
      </c>
      <c r="B5" s="4" t="n">
        <v>32</v>
      </c>
      <c r="C5" s="4" t="n">
        <v>0.8</v>
      </c>
      <c r="D5" s="5" t="n"/>
      <c r="E5" s="4" t="n">
        <v>26</v>
      </c>
      <c r="F5" s="6">
        <f>IFERROR(D5/E5,"")</f>
        <v/>
      </c>
      <c r="G5" s="5" t="n"/>
      <c r="H5" s="4" t="n">
        <v>6</v>
      </c>
      <c r="I5" s="5" t="n"/>
      <c r="J5" s="5" t="n"/>
      <c r="K5" s="7">
        <f>IF(D5="","",IF(AND(F5&gt;=0.9,F5&lt;=1.05,G5=H5),"PASS","FAIL"))</f>
        <v/>
      </c>
      <c r="L5" s="5" t="n"/>
    </row>
    <row r="6">
      <c r="A6" s="4" t="inlineStr">
        <is>
          <t>3-2</t>
        </is>
      </c>
      <c r="B6" s="4" t="n">
        <v>32</v>
      </c>
      <c r="C6" s="4" t="n">
        <v>1.2</v>
      </c>
      <c r="D6" s="5" t="n"/>
      <c r="E6" s="4" t="n">
        <v>26</v>
      </c>
      <c r="F6" s="6">
        <f>IFERROR(D6/E6,"")</f>
        <v/>
      </c>
      <c r="G6" s="5" t="n"/>
      <c r="H6" s="4" t="n">
        <v>6</v>
      </c>
      <c r="I6" s="5" t="n"/>
      <c r="J6" s="5" t="n"/>
      <c r="K6" s="7">
        <f>IF(D6="","",IF(AND(F6&gt;=0.9,F6&lt;=1.05,G6=H6),"PASS","FAIL"))</f>
        <v/>
      </c>
      <c r="L6" s="5" t="n"/>
    </row>
    <row r="7">
      <c r="A7" s="4" t="inlineStr">
        <is>
          <t>3-3</t>
        </is>
      </c>
      <c r="B7" s="4" t="n">
        <v>32</v>
      </c>
      <c r="C7" s="4" t="n">
        <v>1.6</v>
      </c>
      <c r="D7" s="5" t="n"/>
      <c r="E7" s="4" t="n">
        <v>26</v>
      </c>
      <c r="F7" s="6">
        <f>IFERROR(D7/E7,"")</f>
        <v/>
      </c>
      <c r="G7" s="5" t="n"/>
      <c r="H7" s="4" t="n">
        <v>6</v>
      </c>
      <c r="I7" s="5" t="n"/>
      <c r="J7" s="5" t="n"/>
      <c r="K7" s="7">
        <f>IF(D7="","",IF(AND(F7&gt;=0.9,F7&lt;=1.05,G7=H7),"PASS","FAIL"))</f>
        <v/>
      </c>
      <c r="L7" s="5" t="n"/>
    </row>
    <row r="8">
      <c r="A8" s="4" t="inlineStr">
        <is>
          <t>3-4</t>
        </is>
      </c>
      <c r="B8" s="4" t="n">
        <v>16</v>
      </c>
      <c r="C8" s="4" t="n">
        <v>0.8</v>
      </c>
      <c r="D8" s="5" t="n"/>
      <c r="E8" s="4" t="n">
        <v>26</v>
      </c>
      <c r="F8" s="6">
        <f>IFERROR(D8/E8,"")</f>
        <v/>
      </c>
      <c r="G8" s="5" t="n"/>
      <c r="H8" s="4" t="n">
        <v>6</v>
      </c>
      <c r="I8" s="5" t="n"/>
      <c r="J8" s="5" t="n"/>
      <c r="K8" s="7">
        <f>IF(D8="","",IF(AND(F8&gt;=0.9,F8&lt;=1.05,G8=H8),"PASS","FAIL"))</f>
        <v/>
      </c>
      <c r="L8" s="5" t="n"/>
    </row>
    <row r="9">
      <c r="A9" s="4" t="inlineStr">
        <is>
          <t>3-5</t>
        </is>
      </c>
      <c r="B9" s="4" t="n">
        <v>16</v>
      </c>
      <c r="C9" s="4" t="n">
        <v>1.2</v>
      </c>
      <c r="D9" s="5" t="n"/>
      <c r="E9" s="4" t="n">
        <v>26</v>
      </c>
      <c r="F9" s="6">
        <f>IFERROR(D9/E9,"")</f>
        <v/>
      </c>
      <c r="G9" s="5" t="n"/>
      <c r="H9" s="4" t="n">
        <v>6</v>
      </c>
      <c r="I9" s="5" t="n"/>
      <c r="J9" s="5" t="n"/>
      <c r="K9" s="7">
        <f>IF(D9="","",IF(AND(F9&gt;=0.9,F9&lt;=1.05,G9=H9),"PASS","FAIL"))</f>
        <v/>
      </c>
      <c r="L9" s="5" t="n"/>
    </row>
    <row r="10">
      <c r="A10" s="4" t="inlineStr">
        <is>
          <t>3-6</t>
        </is>
      </c>
      <c r="B10" s="4" t="n">
        <v>16</v>
      </c>
      <c r="C10" s="4" t="n">
        <v>1.6</v>
      </c>
      <c r="D10" s="5" t="n"/>
      <c r="E10" s="4" t="n">
        <v>26</v>
      </c>
      <c r="F10" s="6">
        <f>IFERROR(D10/E10,"")</f>
        <v/>
      </c>
      <c r="G10" s="5" t="n"/>
      <c r="H10" s="4" t="n">
        <v>6</v>
      </c>
      <c r="I10" s="5" t="n"/>
      <c r="J10" s="5" t="n"/>
      <c r="K10" s="7">
        <f>IF(D10="","",IF(AND(F10&gt;=0.9,F10&lt;=1.05,G10=H10),"PASS","FAIL"))</f>
        <v/>
      </c>
      <c r="L10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실험2_AnaR스윕 — Analysis R 스윕 — 경험적 N 확정 (void 있는 die 포함)</t>
        </is>
      </c>
    </row>
    <row r="2">
      <c r="A2" s="2" t="inlineStr">
        <is>
          <t>고정 조건: kV=실험1 결과, Frame 64</t>
        </is>
      </c>
    </row>
    <row r="4">
      <c r="A4" s="3" t="inlineStr">
        <is>
          <t>Run</t>
        </is>
      </c>
      <c r="B4" s="3" t="inlineStr">
        <is>
          <t>R_ana</t>
        </is>
      </c>
      <c r="C4" s="3" t="inlineStr">
        <is>
          <t>측정직경(µm)</t>
        </is>
      </c>
      <c r="D4" s="3" t="inlineStr">
        <is>
          <t>nominal(µm)</t>
        </is>
      </c>
      <c r="E4" s="3" t="inlineStr">
        <is>
          <t>Q_dia(자동)</t>
        </is>
      </c>
      <c r="F4" s="3" t="inlineStr">
        <is>
          <t>매칭 성공die</t>
        </is>
      </c>
      <c r="G4" s="3" t="inlineStr">
        <is>
          <t>검사die수</t>
        </is>
      </c>
      <c r="H4" s="3" t="inlineStr">
        <is>
          <t>void%</t>
        </is>
      </c>
      <c r="I4" s="3" t="inlineStr">
        <is>
          <t>tact(초)</t>
        </is>
      </c>
      <c r="J4" s="3" t="inlineStr">
        <is>
          <t>판정(자동)</t>
        </is>
      </c>
      <c r="K4" s="3" t="inlineStr">
        <is>
          <t>메모</t>
        </is>
      </c>
    </row>
    <row r="5">
      <c r="A5" s="4" t="inlineStr">
        <is>
          <t>2-1</t>
        </is>
      </c>
      <c r="B5" s="4" t="n">
        <v>0.4</v>
      </c>
      <c r="C5" s="5" t="n"/>
      <c r="D5" s="4" t="n">
        <v>26</v>
      </c>
      <c r="E5" s="6">
        <f>IFERROR(C5/D5,"")</f>
        <v/>
      </c>
      <c r="F5" s="5" t="n"/>
      <c r="G5" s="4" t="n">
        <v>6</v>
      </c>
      <c r="H5" s="5" t="n"/>
      <c r="I5" s="5" t="n"/>
      <c r="J5" s="7">
        <f>IF(C5="","",IF(AND(E5&gt;=0.9,E5&lt;=1.05,F5=G5),"PASS","FAIL"))</f>
        <v/>
      </c>
      <c r="K5" s="5" t="n"/>
    </row>
    <row r="6">
      <c r="A6" s="4" t="inlineStr">
        <is>
          <t>2-2</t>
        </is>
      </c>
      <c r="B6" s="4" t="n">
        <v>0.6</v>
      </c>
      <c r="C6" s="5" t="n"/>
      <c r="D6" s="4" t="n">
        <v>26</v>
      </c>
      <c r="E6" s="6">
        <f>IFERROR(C6/D6,"")</f>
        <v/>
      </c>
      <c r="F6" s="5" t="n"/>
      <c r="G6" s="4" t="n">
        <v>6</v>
      </c>
      <c r="H6" s="5" t="n"/>
      <c r="I6" s="5" t="n"/>
      <c r="J6" s="7">
        <f>IF(C6="","",IF(AND(E6&gt;=0.9,E6&lt;=1.05,F6=G6),"PASS","FAIL"))</f>
        <v/>
      </c>
      <c r="K6" s="5" t="n"/>
    </row>
    <row r="7">
      <c r="A7" s="4" t="inlineStr">
        <is>
          <t>2-3</t>
        </is>
      </c>
      <c r="B7" s="4" t="n">
        <v>0.8</v>
      </c>
      <c r="C7" s="5" t="n"/>
      <c r="D7" s="4" t="n">
        <v>26</v>
      </c>
      <c r="E7" s="6">
        <f>IFERROR(C7/D7,"")</f>
        <v/>
      </c>
      <c r="F7" s="5" t="n"/>
      <c r="G7" s="4" t="n">
        <v>6</v>
      </c>
      <c r="H7" s="5" t="n"/>
      <c r="I7" s="5" t="n"/>
      <c r="J7" s="7">
        <f>IF(C7="","",IF(AND(E7&gt;=0.9,E7&lt;=1.05,F7=G7),"PASS","FAIL"))</f>
        <v/>
      </c>
      <c r="K7" s="5" t="n"/>
    </row>
    <row r="8">
      <c r="A8" s="4" t="inlineStr">
        <is>
          <t>2-4</t>
        </is>
      </c>
      <c r="B8" s="4" t="n">
        <v>1</v>
      </c>
      <c r="C8" s="5" t="n"/>
      <c r="D8" s="4" t="n">
        <v>26</v>
      </c>
      <c r="E8" s="6">
        <f>IFERROR(C8/D8,"")</f>
        <v/>
      </c>
      <c r="F8" s="5" t="n"/>
      <c r="G8" s="4" t="n">
        <v>6</v>
      </c>
      <c r="H8" s="5" t="n"/>
      <c r="I8" s="5" t="n"/>
      <c r="J8" s="7">
        <f>IF(C8="","",IF(AND(E8&gt;=0.9,E8&lt;=1.05,F8=G8),"PASS","FAIL"))</f>
        <v/>
      </c>
      <c r="K8" s="5" t="n"/>
    </row>
    <row r="9">
      <c r="A9" s="4" t="inlineStr">
        <is>
          <t>2-5</t>
        </is>
      </c>
      <c r="B9" s="4" t="n">
        <v>1.3</v>
      </c>
      <c r="C9" s="5" t="n"/>
      <c r="D9" s="4" t="n">
        <v>26</v>
      </c>
      <c r="E9" s="6">
        <f>IFERROR(C9/D9,"")</f>
        <v/>
      </c>
      <c r="F9" s="5" t="n"/>
      <c r="G9" s="4" t="n">
        <v>6</v>
      </c>
      <c r="H9" s="5" t="n"/>
      <c r="I9" s="5" t="n"/>
      <c r="J9" s="7">
        <f>IF(C9="","",IF(AND(E9&gt;=0.9,E9&lt;=1.05,F9=G9),"PASS","FAIL"))</f>
        <v/>
      </c>
      <c r="K9" s="5" t="n"/>
    </row>
    <row r="10">
      <c r="A10" s="4" t="inlineStr">
        <is>
          <t>2-6</t>
        </is>
      </c>
      <c r="B10" s="4" t="n">
        <v>1.6</v>
      </c>
      <c r="C10" s="5" t="n"/>
      <c r="D10" s="4" t="n">
        <v>26</v>
      </c>
      <c r="E10" s="6">
        <f>IFERROR(C10/D10,"")</f>
        <v/>
      </c>
      <c r="F10" s="5" t="n"/>
      <c r="G10" s="4" t="n">
        <v>6</v>
      </c>
      <c r="H10" s="5" t="n"/>
      <c r="I10" s="5" t="n"/>
      <c r="J10" s="7">
        <f>IF(C10="","",IF(AND(E10&gt;=0.9,E10&lt;=1.05,F10=G10),"PASS","FAIL"))</f>
        <v/>
      </c>
      <c r="K1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5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실험4_Frame재현성 — Analysis Frame 64 vs 32, 각 3회 반복 — void% σ 비교</t>
        </is>
      </c>
    </row>
    <row r="2">
      <c r="A2" s="2" t="inlineStr">
        <is>
          <t>고정 조건: kV·R 고정</t>
        </is>
      </c>
    </row>
    <row r="4">
      <c r="A4" s="3" t="inlineStr">
        <is>
          <t>Run</t>
        </is>
      </c>
      <c r="B4" s="3" t="inlineStr">
        <is>
          <t>Ana Frame</t>
        </is>
      </c>
      <c r="C4" s="3" t="inlineStr">
        <is>
          <t>반복#</t>
        </is>
      </c>
      <c r="D4" s="3" t="inlineStr">
        <is>
          <t>측정직경(µm)</t>
        </is>
      </c>
      <c r="E4" s="3" t="inlineStr">
        <is>
          <t>nominal(µm)</t>
        </is>
      </c>
      <c r="F4" s="3" t="inlineStr">
        <is>
          <t>Q_dia(자동)</t>
        </is>
      </c>
      <c r="G4" s="3" t="inlineStr">
        <is>
          <t>매칭 성공die</t>
        </is>
      </c>
      <c r="H4" s="3" t="inlineStr">
        <is>
          <t>검사die수</t>
        </is>
      </c>
      <c r="I4" s="3" t="inlineStr">
        <is>
          <t>void%</t>
        </is>
      </c>
      <c r="J4" s="3" t="inlineStr">
        <is>
          <t>tact(초)</t>
        </is>
      </c>
      <c r="K4" s="3" t="inlineStr">
        <is>
          <t>판정(자동)</t>
        </is>
      </c>
      <c r="L4" s="3" t="inlineStr">
        <is>
          <t>메모</t>
        </is>
      </c>
    </row>
    <row r="5">
      <c r="A5" s="4" t="inlineStr">
        <is>
          <t>4-1</t>
        </is>
      </c>
      <c r="B5" s="4" t="n">
        <v>64</v>
      </c>
      <c r="C5" s="4" t="n">
        <v>1</v>
      </c>
      <c r="D5" s="5" t="n"/>
      <c r="E5" s="4" t="n">
        <v>26</v>
      </c>
      <c r="F5" s="6">
        <f>IFERROR(D5/E5,"")</f>
        <v/>
      </c>
      <c r="G5" s="5" t="n"/>
      <c r="H5" s="4" t="n">
        <v>6</v>
      </c>
      <c r="I5" s="5" t="n"/>
      <c r="J5" s="5" t="n"/>
      <c r="K5" s="7">
        <f>IF(D5="","",IF(AND(F5&gt;=0.9,F5&lt;=1.05,G5=H5),"PASS","FAIL"))</f>
        <v/>
      </c>
      <c r="L5" s="5" t="n"/>
    </row>
    <row r="6">
      <c r="A6" s="4" t="inlineStr">
        <is>
          <t>4-2</t>
        </is>
      </c>
      <c r="B6" s="4" t="n">
        <v>64</v>
      </c>
      <c r="C6" s="4" t="n">
        <v>2</v>
      </c>
      <c r="D6" s="5" t="n"/>
      <c r="E6" s="4" t="n">
        <v>26</v>
      </c>
      <c r="F6" s="6">
        <f>IFERROR(D6/E6,"")</f>
        <v/>
      </c>
      <c r="G6" s="5" t="n"/>
      <c r="H6" s="4" t="n">
        <v>6</v>
      </c>
      <c r="I6" s="5" t="n"/>
      <c r="J6" s="5" t="n"/>
      <c r="K6" s="7">
        <f>IF(D6="","",IF(AND(F6&gt;=0.9,F6&lt;=1.05,G6=H6),"PASS","FAIL"))</f>
        <v/>
      </c>
      <c r="L6" s="5" t="n"/>
    </row>
    <row r="7">
      <c r="A7" s="4" t="inlineStr">
        <is>
          <t>4-3</t>
        </is>
      </c>
      <c r="B7" s="4" t="n">
        <v>64</v>
      </c>
      <c r="C7" s="4" t="n">
        <v>3</v>
      </c>
      <c r="D7" s="5" t="n"/>
      <c r="E7" s="4" t="n">
        <v>26</v>
      </c>
      <c r="F7" s="6">
        <f>IFERROR(D7/E7,"")</f>
        <v/>
      </c>
      <c r="G7" s="5" t="n"/>
      <c r="H7" s="4" t="n">
        <v>6</v>
      </c>
      <c r="I7" s="5" t="n"/>
      <c r="J7" s="5" t="n"/>
      <c r="K7" s="7">
        <f>IF(D7="","",IF(AND(F7&gt;=0.9,F7&lt;=1.05,G7=H7),"PASS","FAIL"))</f>
        <v/>
      </c>
      <c r="L7" s="5" t="n"/>
    </row>
    <row r="8">
      <c r="A8" s="4" t="inlineStr">
        <is>
          <t>4-4</t>
        </is>
      </c>
      <c r="B8" s="4" t="n">
        <v>32</v>
      </c>
      <c r="C8" s="4" t="n">
        <v>1</v>
      </c>
      <c r="D8" s="5" t="n"/>
      <c r="E8" s="4" t="n">
        <v>26</v>
      </c>
      <c r="F8" s="6">
        <f>IFERROR(D8/E8,"")</f>
        <v/>
      </c>
      <c r="G8" s="5" t="n"/>
      <c r="H8" s="4" t="n">
        <v>6</v>
      </c>
      <c r="I8" s="5" t="n"/>
      <c r="J8" s="5" t="n"/>
      <c r="K8" s="7">
        <f>IF(D8="","",IF(AND(F8&gt;=0.9,F8&lt;=1.05,G8=H8),"PASS","FAIL"))</f>
        <v/>
      </c>
      <c r="L8" s="5" t="n"/>
    </row>
    <row r="9">
      <c r="A9" s="4" t="inlineStr">
        <is>
          <t>4-5</t>
        </is>
      </c>
      <c r="B9" s="4" t="n">
        <v>32</v>
      </c>
      <c r="C9" s="4" t="n">
        <v>2</v>
      </c>
      <c r="D9" s="5" t="n"/>
      <c r="E9" s="4" t="n">
        <v>26</v>
      </c>
      <c r="F9" s="6">
        <f>IFERROR(D9/E9,"")</f>
        <v/>
      </c>
      <c r="G9" s="5" t="n"/>
      <c r="H9" s="4" t="n">
        <v>6</v>
      </c>
      <c r="I9" s="5" t="n"/>
      <c r="J9" s="5" t="n"/>
      <c r="K9" s="7">
        <f>IF(D9="","",IF(AND(F9&gt;=0.9,F9&lt;=1.05,G9=H9),"PASS","FAIL"))</f>
        <v/>
      </c>
      <c r="L9" s="5" t="n"/>
    </row>
    <row r="10">
      <c r="A10" s="4" t="inlineStr">
        <is>
          <t>4-6</t>
        </is>
      </c>
      <c r="B10" s="4" t="n">
        <v>32</v>
      </c>
      <c r="C10" s="4" t="n">
        <v>3</v>
      </c>
      <c r="D10" s="5" t="n"/>
      <c r="E10" s="4" t="n">
        <v>26</v>
      </c>
      <c r="F10" s="6">
        <f>IFERROR(D10/E10,"")</f>
        <v/>
      </c>
      <c r="G10" s="5" t="n"/>
      <c r="H10" s="4" t="n">
        <v>6</v>
      </c>
      <c r="I10" s="5" t="n"/>
      <c r="J10" s="5" t="n"/>
      <c r="K10" s="7">
        <f>IF(D10="","",IF(AND(F10&gt;=0.9,F10&lt;=1.05,G10=H10),"PASS","FAIL"))</f>
        <v/>
      </c>
      <c r="L1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2026-07-02T15:13:33Z</dcterms:created>
  <dcterms:modified xmlns:dcterms="http://purl.org/dc/terms/" xmlns:xsi="http://www.w3.org/2001/XMLSchema-instance" xsi:type="dcterms:W3CDTF">2026-07-02T15:13:33Z</dcterms:modified>
</cp:coreProperties>
</file>