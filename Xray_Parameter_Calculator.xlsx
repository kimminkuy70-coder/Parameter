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" sheetId="1" state="visible" r:id="rId1"/>
    <sheet xmlns:r="http://schemas.openxmlformats.org/officeDocument/2006/relationships" name="kV보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777777"/>
    </font>
    <font>
      <b val="1"/>
      <color rgb="00FFFFFF"/>
      <sz val="12"/>
    </font>
    <font>
      <b val="1"/>
    </font>
    <font>
      <color rgb="00666666"/>
      <sz val="9"/>
    </font>
    <font>
      <sz val="10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6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1" pivotButton="0" quotePrefix="0" xfId="0"/>
    <xf numFmtId="165" fontId="0" fillId="4" borderId="1" pivotButton="0" quotePrefix="0" xfId="0"/>
    <xf numFmtId="0" fontId="7" fillId="0" borderId="1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" customWidth="1" min="3" max="3"/>
    <col width="54" customWidth="1" min="4" max="4"/>
  </cols>
  <sheetData>
    <row r="1">
      <c r="A1" s="1" t="inlineStr">
        <is>
          <t>X-ray Void 검사 파라미터 계산기</t>
        </is>
      </c>
    </row>
    <row r="2">
      <c r="A2" s="2" t="inlineStr">
        <is>
          <t>노란칸=입력, 파란칸=자동계산. 값 바꾸면 자동 갱신.</t>
        </is>
      </c>
    </row>
    <row r="4">
      <c r="A4" s="3" t="inlineStr">
        <is>
          <t>■ 입력</t>
        </is>
      </c>
      <c r="B4" s="3" t="n"/>
      <c r="C4" s="3" t="n"/>
      <c r="D4" s="3" t="n"/>
    </row>
    <row r="6">
      <c r="A6" s="4" t="inlineStr">
        <is>
          <t>범프 직경 D</t>
        </is>
      </c>
      <c r="B6" s="5" t="n">
        <v>26</v>
      </c>
      <c r="C6" s="6" t="inlineStr">
        <is>
          <t>µm</t>
        </is>
      </c>
      <c r="D6" s="7" t="inlineStr">
        <is>
          <t>검사 대상 범프 nominal 직경(도면/이미지명)</t>
        </is>
      </c>
    </row>
    <row r="7">
      <c r="A7" s="4" t="inlineStr">
        <is>
          <t>void 면적 임계 p</t>
        </is>
      </c>
      <c r="B7" s="5" t="n">
        <v>8</v>
      </c>
      <c r="C7" s="6" t="inlineStr">
        <is>
          <t>%</t>
        </is>
      </c>
      <c r="D7" s="7" t="inlineStr">
        <is>
          <t>합/불 기준 void 면적 비율</t>
        </is>
      </c>
    </row>
    <row r="8">
      <c r="A8" s="4" t="inlineStr">
        <is>
          <t>허용 void% 상대오차 ε</t>
        </is>
      </c>
      <c r="B8" s="5" t="n">
        <v>0.1</v>
      </c>
      <c r="C8" s="6" t="inlineStr"/>
      <c r="D8" s="7" t="inlineStr">
        <is>
          <t>0.10=±10%. 작을수록 N↑(정밀)</t>
        </is>
      </c>
    </row>
    <row r="9">
      <c r="A9" s="4" t="inlineStr">
        <is>
          <t>[보정] 기준 범프 d0</t>
        </is>
      </c>
      <c r="C9" s="6" t="inlineStr">
        <is>
          <t>µm</t>
        </is>
      </c>
      <c r="D9" s="7" t="inlineStr">
        <is>
          <t>★같은 재질의 잘 되는 점. TB500M=26µm→60kV</t>
        </is>
      </c>
    </row>
    <row r="10">
      <c r="A10" s="4" t="inlineStr">
        <is>
          <t>[보정] 기준 kV V0</t>
        </is>
      </c>
      <c r="B10" s="5" t="n">
        <v>26</v>
      </c>
      <c r="C10" s="6" t="inlineStr">
        <is>
          <t>kV</t>
        </is>
      </c>
      <c r="D10" s="7" t="inlineStr">
        <is>
          <t>기준점 최적 kV</t>
        </is>
      </c>
    </row>
    <row r="11">
      <c r="A11" s="4" t="inlineStr">
        <is>
          <t>[보정] 지수 n</t>
        </is>
      </c>
      <c r="B11" s="5" t="n">
        <v>60</v>
      </c>
      <c r="C11" s="6" t="inlineStr"/>
      <c r="D11" s="7" t="inlineStr">
        <is>
          <t>2.5~3.5, 기본3. 'kV보정'시트서 fit</t>
        </is>
      </c>
    </row>
    <row r="12">
      <c r="B12" s="5" t="n">
        <v>3</v>
      </c>
    </row>
    <row r="14">
      <c r="A14" s="3" t="inlineStr">
        <is>
          <t>■ 출력 (자동계산)</t>
        </is>
      </c>
      <c r="B14" s="3" t="n"/>
      <c r="C14" s="3" t="n"/>
      <c r="D14" s="3" t="n"/>
    </row>
    <row r="15">
      <c r="A15" s="4" t="inlineStr">
        <is>
          <t>N (void당 최소 픽셀)</t>
        </is>
      </c>
      <c r="B15" s="8">
        <f>ROUND(2/B8,0)</f>
        <v/>
      </c>
      <c r="C15" s="6" t="inlineStr">
        <is>
          <t>px</t>
        </is>
      </c>
      <c r="D15" s="7" t="inlineStr">
        <is>
          <t>N≈2/ε (면적 이산화오차). 검출만이면 ~5</t>
        </is>
      </c>
    </row>
    <row r="16">
      <c r="A16" s="4" t="inlineStr">
        <is>
          <t>R_max (권장 최대 해상도)</t>
        </is>
      </c>
      <c r="B16" s="9">
        <f>ROUND(B6*SQRT(B7/100)/B15,2)</f>
        <v/>
      </c>
      <c r="C16" s="6" t="inlineStr">
        <is>
          <t>µm/px</t>
        </is>
      </c>
      <c r="D16" s="7" t="inlineStr">
        <is>
          <t>R=D·√p/N. 이 값 이하 설정(작을수록 정밀·느림)</t>
        </is>
      </c>
    </row>
    <row r="17">
      <c r="A17" s="4" t="inlineStr">
        <is>
          <t>kV 첫 추정</t>
        </is>
      </c>
      <c r="B17" s="10">
        <f>ROUND(B11*(B6/B10)^(1/B12),1)</f>
        <v/>
      </c>
      <c r="C17" s="6" t="inlineStr">
        <is>
          <t>kV</t>
        </is>
      </c>
      <c r="D17" s="7" t="inlineStr">
        <is>
          <t>V0·(D/d0)^(1/n). 같은재질 기준점일 때만 유효</t>
        </is>
      </c>
    </row>
    <row r="18">
      <c r="A18" s="4" t="inlineStr">
        <is>
          <t>Power</t>
        </is>
      </c>
      <c r="B18" s="8" t="inlineStr">
        <is>
          <t>≈4 (고정)</t>
        </is>
      </c>
      <c r="C18" s="6" t="inlineStr">
        <is>
          <t>W</t>
        </is>
      </c>
      <c r="D18" s="7" t="inlineStr">
        <is>
          <t>침투 아님=속도/선속 보조. 계산변수 아님</t>
        </is>
      </c>
    </row>
    <row r="19">
      <c r="A19" s="4" t="inlineStr">
        <is>
          <t>Frame Average</t>
        </is>
      </c>
      <c r="B19" s="8" t="inlineStr">
        <is>
          <t>품질하한 최소값</t>
        </is>
      </c>
      <c r="C19" s="6" t="inlineStr"/>
      <c r="D19" s="7" t="inlineStr">
        <is>
          <t>SNR knob. 어두우면↑ (64→32=시간 절반)</t>
        </is>
      </c>
    </row>
    <row r="21">
      <c r="A21" s="4" t="inlineStr">
        <is>
          <t>참고: 임계 void 지름</t>
        </is>
      </c>
      <c r="B21" s="10">
        <f>ROUND(B6*SQRT(B7/100),1)</f>
        <v/>
      </c>
      <c r="C21" s="6" t="inlineStr">
        <is>
          <t>µm</t>
        </is>
      </c>
      <c r="D21" s="7" t="inlineStr">
        <is>
          <t>d_void=D·√p (이걸 N픽셀로 담는 게 R 기준)</t>
        </is>
      </c>
    </row>
    <row r="23">
      <c r="A23" s="3" t="inlineStr">
        <is>
          <t>■ kV 확정 규칙</t>
        </is>
      </c>
      <c r="B23" s="3" t="n"/>
      <c r="C23" s="3" t="n"/>
      <c r="D23" s="3" t="n"/>
    </row>
    <row r="24">
      <c r="A24" s="11" t="inlineStr">
        <is>
          <t>위 kV 첫추정에서 시작 → 측정 범프직경이 D의 97~103%가 되고 모든 die가 매칭될 때까지 kV를 1kV씩 미세조정. (재질 다르면 첫추정은 참고만)</t>
        </is>
      </c>
      <c r="B24" s="12" t="n"/>
      <c r="C24" s="12" t="n"/>
      <c r="D24" s="13" t="n"/>
    </row>
    <row r="25">
      <c r="A25" s="14" t="n"/>
      <c r="B25" s="15" t="n"/>
      <c r="C25" s="15" t="n"/>
      <c r="D25" s="16" t="n"/>
    </row>
  </sheetData>
  <mergeCells count="1">
    <mergeCell ref="A24:D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" customWidth="1" min="3" max="3"/>
    <col width="22" customWidth="1" min="4" max="4"/>
    <col width="16" customWidth="1" min="5" max="5"/>
  </cols>
  <sheetData>
    <row r="1">
      <c r="A1" s="1" t="inlineStr">
        <is>
          <t>kV 보정 — 실험점으로 지수 n 자동 fit</t>
        </is>
      </c>
    </row>
    <row r="2">
      <c r="A2" s="2" t="inlineStr">
        <is>
          <t>같은 재질에서 '측정직경=nominal 되는' (범프크기, 최적kV) 점을 2개↑ 입력. 아래는 예시(가상).</t>
        </is>
      </c>
    </row>
    <row r="4">
      <c r="A4" s="3" t="inlineStr">
        <is>
          <t>범프크기 d(µm)</t>
        </is>
      </c>
      <c r="B4" s="3" t="inlineStr">
        <is>
          <t>최적 kV</t>
        </is>
      </c>
      <c r="D4" s="3" t="inlineStr">
        <is>
          <t>결과</t>
        </is>
      </c>
      <c r="E4" s="17" t="n"/>
    </row>
    <row r="5">
      <c r="A5" s="5" t="n">
        <v>30</v>
      </c>
      <c r="B5" s="5" t="n">
        <v>58</v>
      </c>
      <c r="D5" s="4" t="inlineStr">
        <is>
          <t>기울기 (1/n)</t>
        </is>
      </c>
      <c r="E5" s="18">
        <f>IFERROR(SLOPE(LN(B5:B10),LN(A5:A10)),"점2개↑ 필요")</f>
        <v/>
      </c>
    </row>
    <row r="6">
      <c r="A6" s="5" t="n">
        <v>120</v>
      </c>
      <c r="B6" s="5" t="n">
        <v>92</v>
      </c>
      <c r="D6" s="4" t="inlineStr">
        <is>
          <t>fit된 n</t>
        </is>
      </c>
      <c r="E6" s="9">
        <f>IFERROR(1/E5,"-")</f>
        <v/>
      </c>
    </row>
    <row r="7">
      <c r="A7" s="5" t="n"/>
      <c r="B7" s="5" t="n"/>
      <c r="D7" s="19" t="inlineStr">
        <is>
          <t>→ 계산기 'n'칸에 입력</t>
        </is>
      </c>
    </row>
    <row r="8">
      <c r="A8" s="5" t="n"/>
      <c r="B8" s="5" t="n"/>
    </row>
    <row r="9">
      <c r="A9" s="5" t="n"/>
      <c r="B9" s="5" t="n"/>
      <c r="D9" s="4" t="inlineStr">
        <is>
          <t>예측: 25µm의 kV</t>
        </is>
      </c>
      <c r="E9" s="10">
        <f>IFERROR(EXP(INTERCEPT(LN(B5:B10),LN(A5:A10)))*25^E5,"-")</f>
        <v/>
      </c>
    </row>
    <row r="10">
      <c r="A10" s="5" t="n"/>
      <c r="B10" s="5" t="n"/>
    </row>
    <row r="12">
      <c r="A12" s="7" t="inlineStr">
        <is>
          <t>원리: V=a·d^(1/n) → lnV=ln a+(1/n)·ln d. 기울기=1/n. 재질 바뀌면 다시 fit.</t>
        </is>
      </c>
      <c r="B12" s="20" t="n"/>
      <c r="C12" s="20" t="n"/>
      <c r="D12" s="20" t="n"/>
      <c r="E12" s="21" t="n"/>
    </row>
  </sheetData>
  <mergeCells count="1"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2026-07-01T23:27:11Z</dcterms:created>
  <dcterms:modified xmlns:dcterms="http://purl.org/dc/terms/" xmlns:xsi="http://www.w3.org/2001/XMLSchema-instance" xsi:type="dcterms:W3CDTF">2026-07-01T23:27:11Z</dcterms:modified>
</cp:coreProperties>
</file>