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-110" windowWidth="19420" windowHeight="11500" tabRatio="600" firstSheet="0" activeTab="2" autoFilterDateGrouping="1"/>
  </bookViews>
  <sheets>
    <sheet xmlns:r="http://schemas.openxmlformats.org/officeDocument/2006/relationships" name="README_설계요약" sheetId="1" state="visible" r:id="rId1"/>
    <sheet xmlns:r="http://schemas.openxmlformats.org/officeDocument/2006/relationships" name="Factor_Level_Definition" sheetId="2" state="visible" r:id="rId2"/>
    <sheet xmlns:r="http://schemas.openxmlformats.org/officeDocument/2006/relationships" name="DOE_2Anchor_Now_38런" sheetId="3" state="visible" r:id="rId3"/>
    <sheet xmlns:r="http://schemas.openxmlformats.org/officeDocument/2006/relationships" name="DOE_3Anchor_Full_57런" sheetId="4" state="visible" r:id="rId4"/>
    <sheet xmlns:r="http://schemas.openxmlformats.org/officeDocument/2006/relationships" name="Later_Addition_Only_19런" sheetId="5" state="visible" r:id="rId5"/>
    <sheet xmlns:r="http://schemas.openxmlformats.org/officeDocument/2006/relationships" name="Run_Count_Check" sheetId="6" state="visible" r:id="rId6"/>
    <sheet xmlns:r="http://schemas.openxmlformats.org/officeDocument/2006/relationships" name="Response_Input_Guide" sheetId="7" state="visible" r:id="rId7"/>
    <sheet xmlns:r="http://schemas.openxmlformats.org/officeDocument/2006/relationships" name="Overlap_재실험최소화" sheetId="8" state="visible" r:id="rId8"/>
  </sheets>
  <definedNames>
    <definedName name="_xlnm._FilterDatabase" localSheetId="2" hidden="1">'DOE_2Anchor_Now_38런'!$A$1:$AH$39</definedName>
    <definedName name="_xlnm._FilterDatabase" localSheetId="3" hidden="1">'DOE_3Anchor_Full_57런'!$A$1:$AH$58</definedName>
    <definedName name="_xlnm._FilterDatabase" localSheetId="4" hidden="1">'Later_Addition_Only_19런'!$A$1:$AH$20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맑은 고딕"/>
      <charset val="129"/>
      <family val="3"/>
      <sz val="8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7"/>
  <cols>
    <col width="24" customWidth="1" min="1" max="1"/>
    <col width="120" customWidth="1" min="2" max="2"/>
  </cols>
  <sheetData>
    <row r="1">
      <c r="A1" s="1" t="inlineStr">
        <is>
          <t>수정사항</t>
        </is>
      </c>
      <c r="B1" s="2" t="inlineStr">
        <is>
          <t>F 최솟값을 모든 anchor에서 32로 수정. 기존 86um/대구경 F16 조건은 제거하고 F32/64/128 체계로 재설계</t>
        </is>
      </c>
    </row>
    <row r="2">
      <c r="A2" s="1" t="inlineStr">
        <is>
          <t>런 수 확인법</t>
        </is>
      </c>
      <c r="B2" s="2" t="inlineStr">
        <is>
          <t>총 런 수는 Run_Count 합계로 확인. DOE_2Anchor_Now=38, DOE_3Anchor_Full=57, Later_Addition=19</t>
        </is>
      </c>
    </row>
    <row r="3">
      <c r="A3" s="1" t="inlineStr">
        <is>
          <t>목적</t>
        </is>
      </c>
      <c r="B3" s="2" t="inlineStr">
        <is>
          <t>PD 직경과 실제 측정 직경이 일치하도록 kV/R/F/W를 추천하는 공정 모델 구축용 DOE 런시트</t>
        </is>
      </c>
    </row>
    <row r="4">
      <c r="A4" s="1" t="inlineStr">
        <is>
          <t>주 Response</t>
        </is>
      </c>
      <c r="B4" s="2" t="inlineStr">
        <is>
          <t>ln_Q = LN(Measured_Diameter_um / PD_Diameter_um). 목표값은 0. Q_dia 목표값은 1.00</t>
        </is>
      </c>
    </row>
    <row r="5">
      <c r="A5" s="1" t="inlineStr">
        <is>
          <t>독립변수</t>
        </is>
      </c>
      <c r="B5" s="2" t="inlineStr">
        <is>
          <t>PD Diameter, kV, R, F, W 총 5개</t>
        </is>
      </c>
    </row>
    <row r="6">
      <c r="A6" s="1" t="inlineStr">
        <is>
          <t>2-anchor 현재 실행</t>
        </is>
      </c>
      <c r="B6" s="2" t="inlineStr">
        <is>
          <t>D26 + D86 총 38런. 이후 대구경 anchor 추가 시 기존 38런 재실험 없이 19런 추가</t>
        </is>
      </c>
    </row>
    <row r="7">
      <c r="A7" s="1" t="inlineStr">
        <is>
          <t>3-anchor 전체 설계</t>
        </is>
      </c>
      <c r="B7" s="2" t="inlineStr">
        <is>
          <t>D26 + D86 + DHIGH 총 57런</t>
        </is>
      </c>
    </row>
    <row r="8">
      <c r="A8" s="1" t="inlineStr">
        <is>
          <t>26um 제한조건</t>
        </is>
      </c>
      <c r="B8" s="2" t="inlineStr">
        <is>
          <t>55kV 제외. 중심 60kV/R0.5/F64/W4. R0.35는 F128과 함께 사용. R0.2는 정규 DOE에서 제외</t>
        </is>
      </c>
    </row>
    <row r="9">
      <c r="A9" s="1" t="inlineStr">
        <is>
          <t>F 레벨</t>
        </is>
      </c>
      <c r="B9" s="2" t="inlineStr">
        <is>
          <t>모든 anchor 공통 F_L=32, F_C=64, F_H=128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7"/>
  <cols>
    <col width="16" customWidth="1" min="1" max="16"/>
    <col width="90" customWidth="1" min="17" max="17"/>
  </cols>
  <sheetData>
    <row r="1">
      <c r="A1" s="3" t="inlineStr">
        <is>
          <t>Anchor_ID</t>
        </is>
      </c>
      <c r="B1" s="3" t="inlineStr">
        <is>
          <t>Material_Label</t>
        </is>
      </c>
      <c r="C1" s="3" t="inlineStr">
        <is>
          <t>Available_Now</t>
        </is>
      </c>
      <c r="D1" s="3" t="inlineStr">
        <is>
          <t>PD_Diameter_um</t>
        </is>
      </c>
      <c r="E1" s="3" t="inlineStr">
        <is>
          <t>kV_L</t>
        </is>
      </c>
      <c r="F1" s="3" t="inlineStr">
        <is>
          <t>kV_C</t>
        </is>
      </c>
      <c r="G1" s="3" t="inlineStr">
        <is>
          <t>kV_H</t>
        </is>
      </c>
      <c r="H1" s="3" t="inlineStr">
        <is>
          <t>R_L</t>
        </is>
      </c>
      <c r="I1" s="3" t="inlineStr">
        <is>
          <t>R_C</t>
        </is>
      </c>
      <c r="J1" s="3" t="inlineStr">
        <is>
          <t>R_H</t>
        </is>
      </c>
      <c r="K1" s="3" t="inlineStr">
        <is>
          <t>F_L</t>
        </is>
      </c>
      <c r="L1" s="3" t="inlineStr">
        <is>
          <t>F_C</t>
        </is>
      </c>
      <c r="M1" s="3" t="inlineStr">
        <is>
          <t>F_H</t>
        </is>
      </c>
      <c r="N1" s="3" t="inlineStr">
        <is>
          <t>W_L</t>
        </is>
      </c>
      <c r="O1" s="3" t="inlineStr">
        <is>
          <t>W_C</t>
        </is>
      </c>
      <c r="P1" s="3" t="inlineStr">
        <is>
          <t>W_H</t>
        </is>
      </c>
      <c r="Q1" s="3" t="inlineStr">
        <is>
          <t>Note</t>
        </is>
      </c>
    </row>
    <row r="2" ht="34" customHeight="1">
      <c r="A2" s="2" t="inlineStr">
        <is>
          <t>D26</t>
        </is>
      </c>
      <c r="B2" s="2" t="inlineStr">
        <is>
          <t>26um_Current_Min</t>
        </is>
      </c>
      <c r="C2" s="2" t="inlineStr">
        <is>
          <t>Y</t>
        </is>
      </c>
      <c r="D2" s="2" t="n">
        <v>26</v>
      </c>
      <c r="E2" s="2" t="n">
        <v>58</v>
      </c>
      <c r="F2" s="2" t="n">
        <v>60</v>
      </c>
      <c r="G2" s="2" t="n">
        <v>62</v>
      </c>
      <c r="H2" s="2" t="n">
        <v>0.35</v>
      </c>
      <c r="I2" s="2" t="n">
        <v>0.5</v>
      </c>
      <c r="J2" s="2" t="n">
        <v>0.65</v>
      </c>
      <c r="K2" s="2" t="n">
        <v>32</v>
      </c>
      <c r="L2" s="2" t="n">
        <v>64</v>
      </c>
      <c r="M2" s="2" t="n">
        <v>128</v>
      </c>
      <c r="N2" s="2" t="n">
        <v>4</v>
      </c>
      <c r="O2" s="2" t="n">
        <v>4</v>
      </c>
      <c r="P2" s="2" t="n">
        <v>6</v>
      </c>
      <c r="Q2" s="2" t="inlineStr">
        <is>
          <t>26um은 55kV 제외. 중심은 60kV/R0.5/F64/W4. F 최소값은 장비 한계상 32. R0.35는 F128과 함께 검증.</t>
        </is>
      </c>
    </row>
    <row r="3" ht="34" customHeight="1">
      <c r="A3" s="2" t="inlineStr">
        <is>
          <t>D86</t>
        </is>
      </c>
      <c r="B3" s="2" t="inlineStr">
        <is>
          <t>86um_Current_Mid</t>
        </is>
      </c>
      <c r="C3" s="2" t="inlineStr">
        <is>
          <t>Y</t>
        </is>
      </c>
      <c r="D3" s="2" t="n">
        <v>86</v>
      </c>
      <c r="E3" s="2" t="n">
        <v>58.5</v>
      </c>
      <c r="F3" s="2" t="n">
        <v>60.5</v>
      </c>
      <c r="G3" s="2" t="n">
        <v>62.5</v>
      </c>
      <c r="H3" s="2" t="n">
        <v>0.5</v>
      </c>
      <c r="I3" s="2" t="n">
        <v>0.8</v>
      </c>
      <c r="J3" s="2" t="n">
        <v>1.5</v>
      </c>
      <c r="K3" s="2" t="n">
        <v>32</v>
      </c>
      <c r="L3" s="2" t="n">
        <v>64</v>
      </c>
      <c r="M3" s="2" t="n">
        <v>128</v>
      </c>
      <c r="N3" s="2" t="n">
        <v>4</v>
      </c>
      <c r="O3" s="2" t="n">
        <v>4</v>
      </c>
      <c r="P3" s="2" t="n">
        <v>6</v>
      </c>
      <c r="Q3" s="2" t="inlineStr">
        <is>
          <t>86um도 F 최소값은 32로 제한. 기존 안정 영역에서 R/W/F trade-off 확인.</t>
        </is>
      </c>
    </row>
    <row r="4" ht="34" customHeight="1">
      <c r="A4" s="2" t="inlineStr">
        <is>
          <t>DHIGH</t>
        </is>
      </c>
      <c r="B4" s="2" t="inlineStr">
        <is>
          <t>HighAnchor_Future_150to180um</t>
        </is>
      </c>
      <c r="C4" s="2" t="inlineStr">
        <is>
          <t>N</t>
        </is>
      </c>
      <c r="D4" s="2" t="n">
        <v>180</v>
      </c>
      <c r="E4" s="2" t="n">
        <v>60</v>
      </c>
      <c r="F4" s="2" t="n">
        <v>62</v>
      </c>
      <c r="G4" s="2" t="n">
        <v>64</v>
      </c>
      <c r="H4" s="2" t="n">
        <v>1</v>
      </c>
      <c r="I4" s="2" t="n">
        <v>1.5</v>
      </c>
      <c r="J4" s="2" t="n">
        <v>3</v>
      </c>
      <c r="K4" s="2" t="n">
        <v>32</v>
      </c>
      <c r="L4" s="2" t="n">
        <v>64</v>
      </c>
      <c r="M4" s="2" t="n">
        <v>128</v>
      </c>
      <c r="N4" s="2" t="n">
        <v>4</v>
      </c>
      <c r="O4" s="2" t="n">
        <v>4</v>
      </c>
      <c r="P4" s="2" t="n">
        <v>6</v>
      </c>
      <c r="Q4" s="2" t="inlineStr">
        <is>
          <t>추후 확보 예정 대구경 anchor. F 최소값은 32. 실제 자재가 150~180um 사이면 직경값만 수정.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K39"/>
  <sheetViews>
    <sheetView tabSelected="1" workbookViewId="0">
      <pane ySplit="1" topLeftCell="A27" activePane="bottomLeft" state="frozen"/>
      <selection pane="bottomLeft" activeCell="B33" sqref="B33:B39"/>
    </sheetView>
  </sheetViews>
  <sheetFormatPr baseColWidth="8" defaultRowHeight="17"/>
  <cols>
    <col width="10" customWidth="1" min="1" max="1"/>
    <col width="14" customWidth="1" min="2" max="2"/>
    <col hidden="1" width="10" customWidth="1" min="3" max="3"/>
    <col hidden="1" width="11" customWidth="1" min="4" max="4"/>
    <col hidden="1" width="12" customWidth="1" min="5" max="5"/>
    <col hidden="1" width="18" customWidth="1" min="6" max="6"/>
    <col hidden="1" width="15" customWidth="1" min="7" max="7"/>
    <col hidden="1" width="28" customWidth="1" min="8" max="8"/>
    <col hidden="1" width="15" customWidth="1" min="9" max="9"/>
    <col hidden="1" width="24" customWidth="1" min="10" max="10"/>
    <col hidden="1" width="20" customWidth="1" min="11" max="11"/>
    <col hidden="1" width="12" customWidth="1" min="12" max="12"/>
    <col width="9" customWidth="1" min="13" max="13"/>
    <col width="12" customWidth="1" min="14" max="14"/>
    <col width="8" customWidth="1" min="15" max="16"/>
    <col hidden="1" width="10" customWidth="1" min="17" max="20"/>
    <col hidden="1" width="12" customWidth="1" min="21" max="21"/>
    <col hidden="1" width="16" customWidth="1" min="22" max="23"/>
    <col hidden="1" width="18" customWidth="1" min="24" max="24"/>
    <col hidden="1" width="10" customWidth="1" min="25" max="25"/>
    <col width="60" customWidth="1" min="26" max="26"/>
    <col width="44" customWidth="1" min="27" max="27"/>
    <col width="18" customWidth="1" min="28" max="28"/>
    <col width="14" customWidth="1" min="29" max="30"/>
    <col width="10" customWidth="1" min="31" max="31"/>
    <col width="20" customWidth="1" min="32" max="32"/>
    <col width="10" customWidth="1" min="33" max="33"/>
    <col width="30" customWidth="1" min="34" max="34"/>
  </cols>
  <sheetData>
    <row r="1" ht="29" customHeight="1">
      <c r="A1" s="3" t="inlineStr">
        <is>
          <t>Run_Order</t>
        </is>
      </c>
      <c r="B1" s="3" t="inlineStr">
        <is>
          <t>Global_Run_ID</t>
        </is>
      </c>
      <c r="C1" s="3" t="inlineStr">
        <is>
          <t>Run_Count</t>
        </is>
      </c>
      <c r="D1" s="3" t="inlineStr">
        <is>
          <t>Set</t>
        </is>
      </c>
      <c r="E1" s="3" t="inlineStr">
        <is>
          <t>Anchor_ID</t>
        </is>
      </c>
      <c r="F1" s="3" t="inlineStr">
        <is>
          <t>Anchor_Available_Now</t>
        </is>
      </c>
      <c r="G1" s="3" t="inlineStr">
        <is>
          <t>PD_Diameter_um</t>
        </is>
      </c>
      <c r="H1" s="3" t="inlineStr">
        <is>
          <t>Material_Label</t>
        </is>
      </c>
      <c r="I1" s="3" t="inlineStr">
        <is>
          <t>Phase</t>
        </is>
      </c>
      <c r="J1" s="3" t="inlineStr">
        <is>
          <t>Model_Role</t>
        </is>
      </c>
      <c r="K1" s="3" t="inlineStr">
        <is>
          <t>Run_Type</t>
        </is>
      </c>
      <c r="L1" s="3" t="inlineStr">
        <is>
          <t>Repeat_Tag</t>
        </is>
      </c>
      <c r="M1" s="3" t="inlineStr">
        <is>
          <t>kV</t>
        </is>
      </c>
      <c r="N1" s="3" t="inlineStr">
        <is>
          <t>R_um_per_px</t>
        </is>
      </c>
      <c r="O1" s="3" t="inlineStr">
        <is>
          <t>F</t>
        </is>
      </c>
      <c r="P1" s="3" t="inlineStr">
        <is>
          <t>W</t>
        </is>
      </c>
      <c r="Q1" s="3" t="inlineStr">
        <is>
          <t>kV_code</t>
        </is>
      </c>
      <c r="R1" s="3" t="inlineStr">
        <is>
          <t>R_code</t>
        </is>
      </c>
      <c r="S1" s="3" t="inlineStr">
        <is>
          <t>F_code</t>
        </is>
      </c>
      <c r="T1" s="3" t="inlineStr">
        <is>
          <t>W_code</t>
        </is>
      </c>
      <c r="U1" s="3" t="inlineStr">
        <is>
          <t>D_code_log</t>
        </is>
      </c>
      <c r="V1" s="3" t="inlineStr">
        <is>
          <t>Use_in_2Anchor_Now</t>
        </is>
      </c>
      <c r="W1" s="3" t="inlineStr">
        <is>
          <t>Use_in_3Anchor_Full</t>
        </is>
      </c>
      <c r="X1" s="3" t="inlineStr">
        <is>
          <t>Later_Addition_Only</t>
        </is>
      </c>
      <c r="Y1" s="3" t="inlineStr">
        <is>
          <t>Priority</t>
        </is>
      </c>
      <c r="Z1" s="3" t="inlineStr">
        <is>
          <t>Purpose</t>
        </is>
      </c>
      <c r="AA1" s="3" t="inlineStr">
        <is>
          <t>Risk_Note</t>
        </is>
      </c>
      <c r="AB1" s="3" t="inlineStr">
        <is>
          <t>Measured_Diameter_um</t>
        </is>
      </c>
      <c r="AC1" s="3" t="inlineStr">
        <is>
          <t>Q_dia_formula</t>
        </is>
      </c>
      <c r="AD1" s="3" t="inlineStr">
        <is>
          <t>ln_Q_formula</t>
        </is>
      </c>
      <c r="AE1" s="3" t="inlineStr">
        <is>
          <t>Match_YN</t>
        </is>
      </c>
      <c r="AF1" s="3" t="inlineStr">
        <is>
          <t>FailedToMatchCAD_YN</t>
        </is>
      </c>
      <c r="AG1" s="3" t="inlineStr">
        <is>
          <t>Tact_sec</t>
        </is>
      </c>
      <c r="AH1" s="3" t="inlineStr">
        <is>
          <t>Operator_Memo</t>
        </is>
      </c>
      <c r="AI1" s="6" t="inlineStr">
        <is>
          <t>RunID</t>
        </is>
      </c>
      <c r="AJ1" s="6" t="inlineStr">
        <is>
          <t>Gold_Flag_YN</t>
        </is>
      </c>
      <c r="AK1" s="6" t="inlineStr">
        <is>
          <t>Measured_LargestVoid_pct</t>
        </is>
      </c>
    </row>
    <row r="2" hidden="1">
      <c r="A2" s="2" t="n">
        <v>1</v>
      </c>
      <c r="B2" s="2" t="inlineStr">
        <is>
          <t>D26-01</t>
        </is>
      </c>
      <c r="C2" s="2" t="n">
        <v>1</v>
      </c>
      <c r="D2" s="2" t="inlineStr">
        <is>
          <t>Shared</t>
        </is>
      </c>
      <c r="E2" s="2" t="inlineStr">
        <is>
          <t>D26</t>
        </is>
      </c>
      <c r="F2" s="2" t="inlineStr">
        <is>
          <t>Y</t>
        </is>
      </c>
      <c r="G2" s="2" t="n">
        <v>26</v>
      </c>
      <c r="H2" s="2" t="inlineStr">
        <is>
          <t>26um_Current_Min</t>
        </is>
      </c>
      <c r="I2" s="2" t="inlineStr">
        <is>
          <t>P0_Center</t>
        </is>
      </c>
      <c r="J2" s="2" t="inlineStr">
        <is>
          <t>Center repeat</t>
        </is>
      </c>
      <c r="K2" s="2" t="inlineStr">
        <is>
          <t>Center</t>
        </is>
      </c>
      <c r="L2" s="2" t="inlineStr">
        <is>
          <t>Rep1</t>
        </is>
      </c>
      <c r="M2" s="2" t="n">
        <v>60</v>
      </c>
      <c r="N2" s="2" t="n">
        <v>0.5</v>
      </c>
      <c r="O2" s="2" t="n">
        <v>64</v>
      </c>
      <c r="P2" s="2" t="n">
        <v>4</v>
      </c>
      <c r="Q2" s="2" t="n">
        <v>0</v>
      </c>
      <c r="R2" s="2" t="n">
        <v>0</v>
      </c>
      <c r="S2" s="2" t="n">
        <v>0</v>
      </c>
      <c r="T2" s="2" t="n">
        <v>0</v>
      </c>
      <c r="U2" s="2">
        <f>LN(G2)</f>
        <v/>
      </c>
      <c r="V2" s="2" t="inlineStr">
        <is>
          <t>Y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Normal</t>
        </is>
      </c>
      <c r="Z2" s="2" t="inlineStr">
        <is>
          <t>26um 중심 조건 반복. 반복오차/기준 Q_dia 확보</t>
        </is>
      </c>
      <c r="AA2" s="2" t="inlineStr">
        <is>
          <t>55kV 제외. F64 중심.</t>
        </is>
      </c>
      <c r="AB2" s="4" t="n">
        <v>25.464</v>
      </c>
      <c r="AC2" s="2">
        <f>IF(AB2="","",AB2/G2)</f>
        <v/>
      </c>
      <c r="AD2" s="2">
        <f>IF(AC2="","",LN(AC2))</f>
        <v/>
      </c>
      <c r="AE2" s="4" t="inlineStr">
        <is>
          <t>Y</t>
        </is>
      </c>
      <c r="AF2" s="4" t="inlineStr">
        <is>
          <t>N</t>
        </is>
      </c>
      <c r="AG2" s="4" t="n">
        <v>60</v>
      </c>
      <c r="AH2" s="4" t="n"/>
      <c r="AI2" t="inlineStr">
        <is>
          <t>3709</t>
        </is>
      </c>
      <c r="AJ2" t="inlineStr">
        <is>
          <t>Y</t>
        </is>
      </c>
      <c r="AK2" t="n">
        <v>0</v>
      </c>
    </row>
    <row r="3" hidden="1">
      <c r="A3" s="2" t="n">
        <v>2</v>
      </c>
      <c r="B3" s="2" t="inlineStr">
        <is>
          <t>D26-02</t>
        </is>
      </c>
      <c r="C3" s="2" t="n">
        <v>1</v>
      </c>
      <c r="D3" s="2" t="inlineStr">
        <is>
          <t>Shared</t>
        </is>
      </c>
      <c r="E3" s="2" t="inlineStr">
        <is>
          <t>D26</t>
        </is>
      </c>
      <c r="F3" s="2" t="inlineStr">
        <is>
          <t>Y</t>
        </is>
      </c>
      <c r="G3" s="2" t="n">
        <v>26</v>
      </c>
      <c r="H3" s="2" t="inlineStr">
        <is>
          <t>26um_Current_Min</t>
        </is>
      </c>
      <c r="I3" s="2" t="inlineStr">
        <is>
          <t>P0_Center</t>
        </is>
      </c>
      <c r="J3" s="2" t="inlineStr">
        <is>
          <t>Center repeat</t>
        </is>
      </c>
      <c r="K3" s="2" t="inlineStr">
        <is>
          <t>Center</t>
        </is>
      </c>
      <c r="L3" s="2" t="inlineStr">
        <is>
          <t>Rep2</t>
        </is>
      </c>
      <c r="M3" s="2" t="n">
        <v>60</v>
      </c>
      <c r="N3" s="2" t="n">
        <v>0.5</v>
      </c>
      <c r="O3" s="2" t="n">
        <v>64</v>
      </c>
      <c r="P3" s="2" t="n">
        <v>4</v>
      </c>
      <c r="Q3" s="2" t="n">
        <v>0</v>
      </c>
      <c r="R3" s="2" t="n">
        <v>0</v>
      </c>
      <c r="S3" s="2" t="n">
        <v>0</v>
      </c>
      <c r="T3" s="2" t="n">
        <v>0</v>
      </c>
      <c r="U3" s="2">
        <f>LN(G3)</f>
        <v/>
      </c>
      <c r="V3" s="2" t="inlineStr">
        <is>
          <t>Y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Normal</t>
        </is>
      </c>
      <c r="Z3" s="2" t="inlineStr">
        <is>
          <t>26um 중심 조건 반복. 반복오차/기준 Q_dia 확보</t>
        </is>
      </c>
      <c r="AA3" s="2" t="inlineStr">
        <is>
          <t>55kV 제외. F64 중심.</t>
        </is>
      </c>
      <c r="AB3" s="4" t="n">
        <v>25.436</v>
      </c>
      <c r="AC3" s="2">
        <f>IF(AB3="","",AB3/G3)</f>
        <v/>
      </c>
      <c r="AD3" s="2">
        <f>IF(AC3="","",LN(AC3))</f>
        <v/>
      </c>
      <c r="AE3" s="4" t="inlineStr">
        <is>
          <t>Y</t>
        </is>
      </c>
      <c r="AF3" s="4" t="inlineStr">
        <is>
          <t>N</t>
        </is>
      </c>
      <c r="AG3" s="4" t="n">
        <v>60</v>
      </c>
      <c r="AH3" s="4" t="n"/>
      <c r="AI3" t="inlineStr">
        <is>
          <t>3710</t>
        </is>
      </c>
      <c r="AJ3" t="inlineStr">
        <is>
          <t>Y</t>
        </is>
      </c>
      <c r="AK3" t="n">
        <v>0</v>
      </c>
    </row>
    <row r="4" hidden="1">
      <c r="A4" s="2" t="n">
        <v>3</v>
      </c>
      <c r="B4" s="2" t="inlineStr">
        <is>
          <t>D26-03</t>
        </is>
      </c>
      <c r="C4" s="2" t="n">
        <v>1</v>
      </c>
      <c r="D4" s="2" t="inlineStr">
        <is>
          <t>Shared</t>
        </is>
      </c>
      <c r="E4" s="2" t="inlineStr">
        <is>
          <t>D26</t>
        </is>
      </c>
      <c r="F4" s="2" t="inlineStr">
        <is>
          <t>Y</t>
        </is>
      </c>
      <c r="G4" s="2" t="n">
        <v>26</v>
      </c>
      <c r="H4" s="2" t="inlineStr">
        <is>
          <t>26um_Current_Min</t>
        </is>
      </c>
      <c r="I4" s="2" t="inlineStr">
        <is>
          <t>P0_Center</t>
        </is>
      </c>
      <c r="J4" s="2" t="inlineStr">
        <is>
          <t>Center repeat</t>
        </is>
      </c>
      <c r="K4" s="2" t="inlineStr">
        <is>
          <t>Center</t>
        </is>
      </c>
      <c r="L4" s="2" t="inlineStr">
        <is>
          <t>Rep3</t>
        </is>
      </c>
      <c r="M4" s="2" t="n">
        <v>60</v>
      </c>
      <c r="N4" s="2" t="n">
        <v>0.5</v>
      </c>
      <c r="O4" s="2" t="n">
        <v>64</v>
      </c>
      <c r="P4" s="2" t="n">
        <v>4</v>
      </c>
      <c r="Q4" s="2" t="n">
        <v>0</v>
      </c>
      <c r="R4" s="2" t="n">
        <v>0</v>
      </c>
      <c r="S4" s="2" t="n">
        <v>0</v>
      </c>
      <c r="T4" s="2" t="n">
        <v>0</v>
      </c>
      <c r="U4" s="2">
        <f>LN(G4)</f>
        <v/>
      </c>
      <c r="V4" s="2" t="inlineStr">
        <is>
          <t>Y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Normal</t>
        </is>
      </c>
      <c r="Z4" s="2" t="inlineStr">
        <is>
          <t>26um 중심 조건 반복. 반복오차/기준 Q_dia 확보</t>
        </is>
      </c>
      <c r="AA4" s="2" t="inlineStr">
        <is>
          <t>55kV 제외. F64 중심.</t>
        </is>
      </c>
      <c r="AB4" s="4" t="n">
        <v>25.5</v>
      </c>
      <c r="AC4" s="2">
        <f>IF(AB4="","",AB4/G4)</f>
        <v/>
      </c>
      <c r="AD4" s="2">
        <f>IF(AC4="","",LN(AC4))</f>
        <v/>
      </c>
      <c r="AE4" s="4" t="inlineStr">
        <is>
          <t>Y</t>
        </is>
      </c>
      <c r="AF4" s="4" t="inlineStr">
        <is>
          <t>N</t>
        </is>
      </c>
      <c r="AG4" s="4" t="n">
        <v>58</v>
      </c>
      <c r="AH4" s="4" t="n"/>
      <c r="AI4" t="inlineStr">
        <is>
          <t>3711</t>
        </is>
      </c>
      <c r="AJ4" t="inlineStr">
        <is>
          <t>Y</t>
        </is>
      </c>
      <c r="AK4" t="n">
        <v>0</v>
      </c>
    </row>
    <row r="5" hidden="1">
      <c r="A5" s="2" t="n">
        <v>4</v>
      </c>
      <c r="B5" s="2" t="inlineStr">
        <is>
          <t>D26-04</t>
        </is>
      </c>
      <c r="C5" s="2" t="n">
        <v>1</v>
      </c>
      <c r="D5" s="2" t="inlineStr">
        <is>
          <t>Shared</t>
        </is>
      </c>
      <c r="E5" s="2" t="inlineStr">
        <is>
          <t>D26</t>
        </is>
      </c>
      <c r="F5" s="2" t="inlineStr">
        <is>
          <t>Y</t>
        </is>
      </c>
      <c r="G5" s="2" t="n">
        <v>26</v>
      </c>
      <c r="H5" s="2" t="inlineStr">
        <is>
          <t>26um_Current_Min</t>
        </is>
      </c>
      <c r="I5" s="2" t="inlineStr">
        <is>
          <t>P1_kV</t>
        </is>
      </c>
      <c r="J5" s="2" t="inlineStr">
        <is>
          <t>kV low axial</t>
        </is>
      </c>
      <c r="K5" s="2" t="inlineStr">
        <is>
          <t>Axial_kV_L</t>
        </is>
      </c>
      <c r="L5" s="2" t="inlineStr">
        <is>
          <t>Single</t>
        </is>
      </c>
      <c r="M5" s="2" t="n">
        <v>58</v>
      </c>
      <c r="N5" s="2" t="n">
        <v>0.5</v>
      </c>
      <c r="O5" s="2" t="n">
        <v>64</v>
      </c>
      <c r="P5" s="2" t="n">
        <v>4</v>
      </c>
      <c r="Q5" s="2" t="n">
        <v>-1</v>
      </c>
      <c r="R5" s="2" t="n">
        <v>0</v>
      </c>
      <c r="S5" s="2" t="n">
        <v>0</v>
      </c>
      <c r="T5" s="2" t="n">
        <v>0</v>
      </c>
      <c r="U5" s="2">
        <f>LN(G5)</f>
        <v/>
      </c>
      <c r="V5" s="2" t="inlineStr">
        <is>
          <t>Y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High</t>
        </is>
      </c>
      <c r="Z5" s="2" t="inlineStr">
        <is>
          <t>26um kV low 안전경계 확인</t>
        </is>
      </c>
      <c r="AA5" s="2" t="inlineStr">
        <is>
          <t>55kV 금지. 58kV부터 확인.</t>
        </is>
      </c>
      <c r="AB5" s="4" t="n">
        <v>21.305</v>
      </c>
      <c r="AC5" s="2">
        <f>IF(AB5="","",AB5/G5)</f>
        <v/>
      </c>
      <c r="AD5" s="2">
        <f>IF(AC5="","",LN(AC5))</f>
        <v/>
      </c>
      <c r="AE5" s="4" t="inlineStr">
        <is>
          <t>Y</t>
        </is>
      </c>
      <c r="AF5" s="4" t="inlineStr">
        <is>
          <t>N</t>
        </is>
      </c>
      <c r="AG5" s="4" t="n">
        <v>44</v>
      </c>
      <c r="AH5" s="4" t="n"/>
      <c r="AI5" t="inlineStr">
        <is>
          <t>3708/3712</t>
        </is>
      </c>
      <c r="AJ5" t="inlineStr">
        <is>
          <t>N</t>
        </is>
      </c>
      <c r="AK5" t="n">
        <v>0</v>
      </c>
    </row>
    <row r="6" hidden="1">
      <c r="A6" s="2" t="n">
        <v>5</v>
      </c>
      <c r="B6" s="2" t="inlineStr">
        <is>
          <t>D26-05</t>
        </is>
      </c>
      <c r="C6" s="2" t="n">
        <v>1</v>
      </c>
      <c r="D6" s="2" t="inlineStr">
        <is>
          <t>Shared</t>
        </is>
      </c>
      <c r="E6" s="2" t="inlineStr">
        <is>
          <t>D26</t>
        </is>
      </c>
      <c r="F6" s="2" t="inlineStr">
        <is>
          <t>Y</t>
        </is>
      </c>
      <c r="G6" s="2" t="n">
        <v>26</v>
      </c>
      <c r="H6" s="2" t="inlineStr">
        <is>
          <t>26um_Current_Min</t>
        </is>
      </c>
      <c r="I6" s="2" t="inlineStr">
        <is>
          <t>P1_kV</t>
        </is>
      </c>
      <c r="J6" s="2" t="inlineStr">
        <is>
          <t>kV high axial</t>
        </is>
      </c>
      <c r="K6" s="2" t="inlineStr">
        <is>
          <t>Axial_kV_H</t>
        </is>
      </c>
      <c r="L6" s="2" t="inlineStr">
        <is>
          <t>Single</t>
        </is>
      </c>
      <c r="M6" s="2" t="n">
        <v>62</v>
      </c>
      <c r="N6" s="2" t="n">
        <v>0.5</v>
      </c>
      <c r="O6" s="2" t="n">
        <v>64</v>
      </c>
      <c r="P6" s="2" t="n">
        <v>4</v>
      </c>
      <c r="Q6" s="2" t="n">
        <v>1</v>
      </c>
      <c r="R6" s="2" t="n">
        <v>0</v>
      </c>
      <c r="S6" s="2" t="n">
        <v>0</v>
      </c>
      <c r="T6" s="2" t="n">
        <v>0</v>
      </c>
      <c r="U6" s="2">
        <f>LN(G6)</f>
        <v/>
      </c>
      <c r="V6" s="2" t="inlineStr">
        <is>
          <t>Y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High</t>
        </is>
      </c>
      <c r="Z6" s="2" t="inlineStr">
        <is>
          <t>26um kV high 확인</t>
        </is>
      </c>
      <c r="AA6" s="2" t="n"/>
      <c r="AB6" s="4" t="n">
        <v>20.469</v>
      </c>
      <c r="AC6" s="2">
        <f>IF(AB6="","",AB6/G6)</f>
        <v/>
      </c>
      <c r="AD6" s="2">
        <f>IF(AC6="","",LN(AC6))</f>
        <v/>
      </c>
      <c r="AE6" s="4" t="inlineStr">
        <is>
          <t>Y</t>
        </is>
      </c>
      <c r="AF6" s="4" t="inlineStr">
        <is>
          <t>N</t>
        </is>
      </c>
      <c r="AG6" s="4" t="n">
        <v>63</v>
      </c>
      <c r="AH6" s="4" t="n"/>
      <c r="AI6" t="inlineStr">
        <is>
          <t>3713</t>
        </is>
      </c>
      <c r="AJ6" t="inlineStr">
        <is>
          <t>N</t>
        </is>
      </c>
      <c r="AK6" t="n">
        <v>0</v>
      </c>
    </row>
    <row r="7" hidden="1">
      <c r="A7" s="2" t="n">
        <v>6</v>
      </c>
      <c r="B7" s="2" t="inlineStr">
        <is>
          <t>D26-06</t>
        </is>
      </c>
      <c r="C7" s="2" t="n">
        <v>1</v>
      </c>
      <c r="D7" s="2" t="inlineStr">
        <is>
          <t>Shared</t>
        </is>
      </c>
      <c r="E7" s="2" t="inlineStr">
        <is>
          <t>D26</t>
        </is>
      </c>
      <c r="F7" s="2" t="inlineStr">
        <is>
          <t>Y</t>
        </is>
      </c>
      <c r="G7" s="2" t="n">
        <v>26</v>
      </c>
      <c r="H7" s="2" t="inlineStr">
        <is>
          <t>26um_Current_Min</t>
        </is>
      </c>
      <c r="I7" s="2" t="inlineStr">
        <is>
          <t>P2_RF</t>
        </is>
      </c>
      <c r="J7" s="2" t="inlineStr">
        <is>
          <t>R low with high F</t>
        </is>
      </c>
      <c r="K7" s="2" t="inlineStr">
        <is>
          <t>Axial_R_L_safe</t>
        </is>
      </c>
      <c r="L7" s="2" t="inlineStr">
        <is>
          <t>Single</t>
        </is>
      </c>
      <c r="M7" s="2" t="n">
        <v>60</v>
      </c>
      <c r="N7" s="2" t="n">
        <v>0.35</v>
      </c>
      <c r="O7" s="2" t="n">
        <v>128</v>
      </c>
      <c r="P7" s="2" t="n">
        <v>4</v>
      </c>
      <c r="Q7" s="2" t="n">
        <v>0</v>
      </c>
      <c r="R7" s="2" t="n">
        <v>-1</v>
      </c>
      <c r="S7" s="2" t="n">
        <v>1</v>
      </c>
      <c r="T7" s="2" t="n">
        <v>0</v>
      </c>
      <c r="U7" s="2">
        <f>LN(G7)</f>
        <v/>
      </c>
      <c r="V7" s="2" t="inlineStr">
        <is>
          <t>Y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High</t>
        </is>
      </c>
      <c r="Z7" s="2" t="inlineStr">
        <is>
          <t>R 미세화 가능성 확인. R0.35는 F128과 짝</t>
        </is>
      </c>
      <c r="AA7" s="2" t="inlineStr">
        <is>
          <t>R low 단독 금지. 광자부족 회피.</t>
        </is>
      </c>
      <c r="AB7" s="4" t="n">
        <v>25.898</v>
      </c>
      <c r="AC7" s="2">
        <f>IF(AB7="","",AB7/G7)</f>
        <v/>
      </c>
      <c r="AD7" s="2">
        <f>IF(AC7="","",LN(AC7))</f>
        <v/>
      </c>
      <c r="AE7" s="4" t="inlineStr">
        <is>
          <t>Y</t>
        </is>
      </c>
      <c r="AF7" s="4" t="inlineStr">
        <is>
          <t>N</t>
        </is>
      </c>
      <c r="AG7" s="4" t="n">
        <v>59</v>
      </c>
      <c r="AH7" s="4" t="n"/>
      <c r="AI7" t="inlineStr">
        <is>
          <t>3714</t>
        </is>
      </c>
      <c r="AJ7" t="inlineStr">
        <is>
          <t>N</t>
        </is>
      </c>
      <c r="AK7" t="n">
        <v>0</v>
      </c>
    </row>
    <row r="8" hidden="1">
      <c r="A8" s="2" t="n">
        <v>7</v>
      </c>
      <c r="B8" s="2" t="inlineStr">
        <is>
          <t>D26-07</t>
        </is>
      </c>
      <c r="C8" s="2" t="n">
        <v>1</v>
      </c>
      <c r="D8" s="2" t="inlineStr">
        <is>
          <t>Shared</t>
        </is>
      </c>
      <c r="E8" s="2" t="inlineStr">
        <is>
          <t>D26</t>
        </is>
      </c>
      <c r="F8" s="2" t="inlineStr">
        <is>
          <t>Y</t>
        </is>
      </c>
      <c r="G8" s="2" t="n">
        <v>26</v>
      </c>
      <c r="H8" s="2" t="inlineStr">
        <is>
          <t>26um_Current_Min</t>
        </is>
      </c>
      <c r="I8" s="2" t="inlineStr">
        <is>
          <t>P2_RF</t>
        </is>
      </c>
      <c r="J8" s="2" t="inlineStr">
        <is>
          <t>R high axial</t>
        </is>
      </c>
      <c r="K8" s="2" t="inlineStr">
        <is>
          <t>Axial_R_H</t>
        </is>
      </c>
      <c r="L8" s="2" t="inlineStr">
        <is>
          <t>Single</t>
        </is>
      </c>
      <c r="M8" s="2" t="n">
        <v>60</v>
      </c>
      <c r="N8" s="2" t="n">
        <v>0.65</v>
      </c>
      <c r="O8" s="2" t="n">
        <v>64</v>
      </c>
      <c r="P8" s="2" t="n">
        <v>4</v>
      </c>
      <c r="Q8" s="2" t="n">
        <v>0</v>
      </c>
      <c r="R8" s="2" t="n">
        <v>1</v>
      </c>
      <c r="S8" s="2" t="n">
        <v>0</v>
      </c>
      <c r="T8" s="2" t="n">
        <v>0</v>
      </c>
      <c r="U8" s="2">
        <f>LN(G8)</f>
        <v/>
      </c>
      <c r="V8" s="2" t="inlineStr">
        <is>
          <t>Y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Normal</t>
        </is>
      </c>
      <c r="Z8" s="2" t="inlineStr">
        <is>
          <t>coarse R가 직경 측정에 미치는 영향</t>
        </is>
      </c>
      <c r="AA8" s="2" t="n"/>
      <c r="AB8" s="4" t="n">
        <v>25.423</v>
      </c>
      <c r="AC8" s="2">
        <f>IF(AB8="","",AB8/G8)</f>
        <v/>
      </c>
      <c r="AD8" s="2">
        <f>IF(AC8="","",LN(AC8))</f>
        <v/>
      </c>
      <c r="AE8" s="4" t="inlineStr">
        <is>
          <t>Y</t>
        </is>
      </c>
      <c r="AF8" s="4" t="inlineStr">
        <is>
          <t>N</t>
        </is>
      </c>
      <c r="AG8" s="4" t="n">
        <v>214</v>
      </c>
      <c r="AH8" s="4" t="n"/>
      <c r="AI8" t="inlineStr">
        <is>
          <t>3715</t>
        </is>
      </c>
      <c r="AJ8" t="inlineStr">
        <is>
          <t>N</t>
        </is>
      </c>
      <c r="AK8" t="n">
        <v>0</v>
      </c>
    </row>
    <row r="9" hidden="1">
      <c r="A9" s="2" t="n">
        <v>8</v>
      </c>
      <c r="B9" s="2" t="inlineStr">
        <is>
          <t>D26-08</t>
        </is>
      </c>
      <c r="C9" s="2" t="n">
        <v>1</v>
      </c>
      <c r="D9" s="2" t="inlineStr">
        <is>
          <t>Shared</t>
        </is>
      </c>
      <c r="E9" s="2" t="inlineStr">
        <is>
          <t>D26</t>
        </is>
      </c>
      <c r="F9" s="2" t="inlineStr">
        <is>
          <t>Y</t>
        </is>
      </c>
      <c r="G9" s="2" t="n">
        <v>26</v>
      </c>
      <c r="H9" s="2" t="inlineStr">
        <is>
          <t>26um_Current_Min</t>
        </is>
      </c>
      <c r="I9" s="2" t="inlineStr">
        <is>
          <t>P2_RF</t>
        </is>
      </c>
      <c r="J9" s="2" t="inlineStr">
        <is>
          <t>F low boundary</t>
        </is>
      </c>
      <c r="K9" s="2" t="inlineStr">
        <is>
          <t>Axial_F_L</t>
        </is>
      </c>
      <c r="L9" s="2" t="inlineStr">
        <is>
          <t>Single</t>
        </is>
      </c>
      <c r="M9" s="2" t="n">
        <v>60</v>
      </c>
      <c r="N9" s="2" t="n">
        <v>0.5</v>
      </c>
      <c r="O9" s="2" t="n">
        <v>32</v>
      </c>
      <c r="P9" s="2" t="n">
        <v>4</v>
      </c>
      <c r="Q9" s="2" t="n">
        <v>0</v>
      </c>
      <c r="R9" s="2" t="n">
        <v>0</v>
      </c>
      <c r="S9" s="2" t="n">
        <v>-1</v>
      </c>
      <c r="T9" s="2" t="n">
        <v>0</v>
      </c>
      <c r="U9" s="2">
        <f>LN(G9)</f>
        <v/>
      </c>
      <c r="V9" s="2" t="inlineStr">
        <is>
          <t>Y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High</t>
        </is>
      </c>
      <c r="Z9" s="2" t="inlineStr">
        <is>
          <t>F32 경계 조건. 장비 F 최소값 조건에서 측정 가능성 확인</t>
        </is>
      </c>
      <c r="AA9" s="2" t="inlineStr">
        <is>
          <t>26um F32는 장비 하한이자 경계조건.</t>
        </is>
      </c>
      <c r="AB9" s="4" t="n">
        <v>25.456</v>
      </c>
      <c r="AC9" s="2">
        <f>IF(AB9="","",AB9/G9)</f>
        <v/>
      </c>
      <c r="AD9" s="2">
        <f>IF(AC9="","",LN(AC9))</f>
        <v/>
      </c>
      <c r="AE9" s="4" t="inlineStr">
        <is>
          <t>Y</t>
        </is>
      </c>
      <c r="AF9" s="4" t="inlineStr">
        <is>
          <t>N</t>
        </is>
      </c>
      <c r="AG9" s="4" t="n">
        <v>47</v>
      </c>
      <c r="AH9" s="4" t="n"/>
      <c r="AI9" t="inlineStr">
        <is>
          <t>3717</t>
        </is>
      </c>
      <c r="AJ9" t="inlineStr">
        <is>
          <t>N</t>
        </is>
      </c>
      <c r="AK9" t="n">
        <v>0.001</v>
      </c>
    </row>
    <row r="10" hidden="1">
      <c r="A10" s="2" t="n">
        <v>9</v>
      </c>
      <c r="B10" s="2" t="inlineStr">
        <is>
          <t>D26-09</t>
        </is>
      </c>
      <c r="C10" s="2" t="n">
        <v>1</v>
      </c>
      <c r="D10" s="2" t="inlineStr">
        <is>
          <t>Shared</t>
        </is>
      </c>
      <c r="E10" s="2" t="inlineStr">
        <is>
          <t>D26</t>
        </is>
      </c>
      <c r="F10" s="2" t="inlineStr">
        <is>
          <t>Y</t>
        </is>
      </c>
      <c r="G10" s="2" t="n">
        <v>26</v>
      </c>
      <c r="H10" s="2" t="inlineStr">
        <is>
          <t>26um_Current_Min</t>
        </is>
      </c>
      <c r="I10" s="2" t="inlineStr">
        <is>
          <t>P2_RF</t>
        </is>
      </c>
      <c r="J10" s="2" t="inlineStr">
        <is>
          <t>F high axial</t>
        </is>
      </c>
      <c r="K10" s="2" t="inlineStr">
        <is>
          <t>Axial_F_H</t>
        </is>
      </c>
      <c r="L10" s="2" t="inlineStr">
        <is>
          <t>Single</t>
        </is>
      </c>
      <c r="M10" s="2" t="n">
        <v>60</v>
      </c>
      <c r="N10" s="2" t="n">
        <v>0.5</v>
      </c>
      <c r="O10" s="2" t="n">
        <v>128</v>
      </c>
      <c r="P10" s="2" t="n">
        <v>4</v>
      </c>
      <c r="Q10" s="2" t="n">
        <v>0</v>
      </c>
      <c r="R10" s="2" t="n">
        <v>0</v>
      </c>
      <c r="S10" s="2" t="n">
        <v>1</v>
      </c>
      <c r="T10" s="2" t="n">
        <v>0</v>
      </c>
      <c r="U10" s="2">
        <f>LN(G10)</f>
        <v/>
      </c>
      <c r="V10" s="2" t="inlineStr">
        <is>
          <t>Y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Normal</t>
        </is>
      </c>
      <c r="Z10" s="2" t="inlineStr">
        <is>
          <t>F128로 측정직경 회복 여부 확인</t>
        </is>
      </c>
      <c r="AA10" s="2" t="n"/>
      <c r="AB10" s="4" t="n">
        <v>25.528</v>
      </c>
      <c r="AC10" s="2">
        <f>IF(AB10="","",AB10/G10)</f>
        <v/>
      </c>
      <c r="AD10" s="2">
        <f>IF(AC10="","",LN(AC10))</f>
        <v/>
      </c>
      <c r="AE10" s="4" t="inlineStr">
        <is>
          <t>Y</t>
        </is>
      </c>
      <c r="AF10" s="4" t="inlineStr">
        <is>
          <t>N</t>
        </is>
      </c>
      <c r="AG10" s="4" t="n">
        <v>65</v>
      </c>
      <c r="AH10" s="4" t="n"/>
      <c r="AI10" t="inlineStr">
        <is>
          <t>3716</t>
        </is>
      </c>
      <c r="AJ10" t="inlineStr">
        <is>
          <t>N</t>
        </is>
      </c>
      <c r="AK10" t="n">
        <v>0</v>
      </c>
    </row>
    <row r="11" hidden="1">
      <c r="A11" s="2" t="n">
        <v>10</v>
      </c>
      <c r="B11" s="2" t="inlineStr">
        <is>
          <t>D26-10</t>
        </is>
      </c>
      <c r="C11" s="2" t="n">
        <v>1</v>
      </c>
      <c r="D11" s="2" t="inlineStr">
        <is>
          <t>Shared</t>
        </is>
      </c>
      <c r="E11" s="2" t="inlineStr">
        <is>
          <t>D26</t>
        </is>
      </c>
      <c r="F11" s="2" t="inlineStr">
        <is>
          <t>Y</t>
        </is>
      </c>
      <c r="G11" s="2" t="n">
        <v>26</v>
      </c>
      <c r="H11" s="2" t="inlineStr">
        <is>
          <t>26um_Current_Min</t>
        </is>
      </c>
      <c r="I11" s="2" t="inlineStr">
        <is>
          <t>P3_W</t>
        </is>
      </c>
      <c r="J11" s="2" t="inlineStr">
        <is>
          <t>W high axial</t>
        </is>
      </c>
      <c r="K11" s="2" t="inlineStr">
        <is>
          <t>Axial_W_H</t>
        </is>
      </c>
      <c r="L11" s="2" t="inlineStr">
        <is>
          <t>Single</t>
        </is>
      </c>
      <c r="M11" s="2" t="n">
        <v>60</v>
      </c>
      <c r="N11" s="2" t="n">
        <v>0.5</v>
      </c>
      <c r="O11" s="2" t="n">
        <v>64</v>
      </c>
      <c r="P11" s="2" t="n">
        <v>6</v>
      </c>
      <c r="Q11" s="2" t="n">
        <v>0</v>
      </c>
      <c r="R11" s="2" t="n">
        <v>0</v>
      </c>
      <c r="S11" s="2" t="n">
        <v>0</v>
      </c>
      <c r="T11" s="2" t="n">
        <v>1</v>
      </c>
      <c r="U11" s="2">
        <f>LN(G11)</f>
        <v/>
      </c>
      <c r="V11" s="2" t="inlineStr">
        <is>
          <t>Y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Normal</t>
        </is>
      </c>
      <c r="Z11" s="2" t="inlineStr">
        <is>
          <t>W 상승 효과 확인</t>
        </is>
      </c>
      <c r="AA11" s="2" t="inlineStr">
        <is>
          <t>W는 1차에서 주로 선형/교호작용으로 해석</t>
        </is>
      </c>
      <c r="AB11" s="4" t="n">
        <v>25.442</v>
      </c>
      <c r="AC11" s="2">
        <f>IF(AB11="","",AB11/G11)</f>
        <v/>
      </c>
      <c r="AD11" s="2">
        <f>IF(AC11="","",LN(AC11))</f>
        <v/>
      </c>
      <c r="AE11" s="4" t="inlineStr">
        <is>
          <t>Y</t>
        </is>
      </c>
      <c r="AF11" s="4" t="inlineStr">
        <is>
          <t>N</t>
        </is>
      </c>
      <c r="AG11" s="4" t="n">
        <v>43</v>
      </c>
      <c r="AH11" s="4" t="n"/>
      <c r="AI11" t="inlineStr">
        <is>
          <t>3718</t>
        </is>
      </c>
      <c r="AJ11" t="inlineStr">
        <is>
          <t>N</t>
        </is>
      </c>
      <c r="AK11" t="n">
        <v>0</v>
      </c>
    </row>
    <row r="12" hidden="1">
      <c r="A12" s="2" t="n">
        <v>11</v>
      </c>
      <c r="B12" s="2" t="inlineStr">
        <is>
          <t>D26-11</t>
        </is>
      </c>
      <c r="C12" s="2" t="n">
        <v>1</v>
      </c>
      <c r="D12" s="2" t="inlineStr">
        <is>
          <t>Shared</t>
        </is>
      </c>
      <c r="E12" s="2" t="inlineStr">
        <is>
          <t>D26</t>
        </is>
      </c>
      <c r="F12" s="2" t="inlineStr">
        <is>
          <t>Y</t>
        </is>
      </c>
      <c r="G12" s="2" t="n">
        <v>26</v>
      </c>
      <c r="H12" s="2" t="inlineStr">
        <is>
          <t>26um_Current_Min</t>
        </is>
      </c>
      <c r="I12" s="2" t="inlineStr">
        <is>
          <t>P3_W</t>
        </is>
      </c>
      <c r="J12" s="2" t="inlineStr">
        <is>
          <t>W high plus F high</t>
        </is>
      </c>
      <c r="K12" s="2" t="inlineStr">
        <is>
          <t>W_F_guard</t>
        </is>
      </c>
      <c r="L12" s="2" t="inlineStr">
        <is>
          <t>Single</t>
        </is>
      </c>
      <c r="M12" s="2" t="n">
        <v>60</v>
      </c>
      <c r="N12" s="2" t="n">
        <v>0.5</v>
      </c>
      <c r="O12" s="2" t="n">
        <v>128</v>
      </c>
      <c r="P12" s="2" t="n">
        <v>6</v>
      </c>
      <c r="Q12" s="2" t="n">
        <v>0</v>
      </c>
      <c r="R12" s="2" t="n">
        <v>0</v>
      </c>
      <c r="S12" s="2" t="n">
        <v>1</v>
      </c>
      <c r="T12" s="2" t="n">
        <v>1</v>
      </c>
      <c r="U12" s="2">
        <f>LN(G12)</f>
        <v/>
      </c>
      <c r="V12" s="2" t="inlineStr">
        <is>
          <t>Y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Normal</t>
        </is>
      </c>
      <c r="Z12" s="2" t="inlineStr">
        <is>
          <t>W와 F가 26um에서 보완/대체되는지 확인</t>
        </is>
      </c>
      <c r="AA12" s="2" t="n"/>
      <c r="AB12" s="4" t="n">
        <v>25.529</v>
      </c>
      <c r="AC12" s="2">
        <f>IF(AB12="","",AB12/G12)</f>
        <v/>
      </c>
      <c r="AD12" s="2">
        <f>IF(AC12="","",LN(AC12))</f>
        <v/>
      </c>
      <c r="AE12" s="4" t="inlineStr">
        <is>
          <t>Y</t>
        </is>
      </c>
      <c r="AF12" s="4" t="inlineStr">
        <is>
          <t>N</t>
        </is>
      </c>
      <c r="AG12" s="4" t="n">
        <v>56</v>
      </c>
      <c r="AH12" s="4" t="n"/>
      <c r="AI12" t="inlineStr">
        <is>
          <t>3720</t>
        </is>
      </c>
      <c r="AJ12" t="inlineStr">
        <is>
          <t>N</t>
        </is>
      </c>
      <c r="AK12" t="n">
        <v>0</v>
      </c>
    </row>
    <row r="13" hidden="1">
      <c r="A13" s="2" t="n">
        <v>12</v>
      </c>
      <c r="B13" s="2" t="inlineStr">
        <is>
          <t>D26-12</t>
        </is>
      </c>
      <c r="C13" s="2" t="n">
        <v>1</v>
      </c>
      <c r="D13" s="2" t="inlineStr">
        <is>
          <t>Shared</t>
        </is>
      </c>
      <c r="E13" s="2" t="inlineStr">
        <is>
          <t>D26</t>
        </is>
      </c>
      <c r="F13" s="2" t="inlineStr">
        <is>
          <t>Y</t>
        </is>
      </c>
      <c r="G13" s="2" t="n">
        <v>26</v>
      </c>
      <c r="H13" s="2" t="inlineStr">
        <is>
          <t>26um_Current_Min</t>
        </is>
      </c>
      <c r="I13" s="2" t="inlineStr">
        <is>
          <t>P2P3_2FI</t>
        </is>
      </c>
      <c r="J13" s="2" t="inlineStr">
        <is>
          <t>Constrained interaction</t>
        </is>
      </c>
      <c r="K13" s="2" t="inlineStr">
        <is>
          <t>Interaction</t>
        </is>
      </c>
      <c r="L13" s="2" t="inlineStr">
        <is>
          <t>Single</t>
        </is>
      </c>
      <c r="M13" s="2" t="n">
        <v>58</v>
      </c>
      <c r="N13" s="2" t="n">
        <v>0.5</v>
      </c>
      <c r="O13" s="2" t="n">
        <v>32</v>
      </c>
      <c r="P13" s="2" t="n">
        <v>4</v>
      </c>
      <c r="Q13" s="2" t="n">
        <v>-1</v>
      </c>
      <c r="R13" s="2" t="n">
        <v>0</v>
      </c>
      <c r="S13" s="2" t="n">
        <v>-1</v>
      </c>
      <c r="T13" s="2" t="n">
        <v>-1</v>
      </c>
      <c r="U13" s="2">
        <f>LN(G13)</f>
        <v/>
      </c>
      <c r="V13" s="2" t="inlineStr">
        <is>
          <t>Y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Normal</t>
        </is>
      </c>
      <c r="Z13" s="2" t="inlineStr">
        <is>
          <t>D26 제한조건부 교호작용 점. kV/R/F/W 상호 영향 확인</t>
        </is>
      </c>
      <c r="AA13" s="2" t="n"/>
      <c r="AB13" s="4" t="n">
        <v>21.197</v>
      </c>
      <c r="AC13" s="2">
        <f>IF(AB13="","",AB13/G13)</f>
        <v/>
      </c>
      <c r="AD13" s="2">
        <f>IF(AC13="","",LN(AC13))</f>
        <v/>
      </c>
      <c r="AE13" s="4" t="inlineStr">
        <is>
          <t>Y</t>
        </is>
      </c>
      <c r="AF13" s="4" t="inlineStr">
        <is>
          <t>N</t>
        </is>
      </c>
      <c r="AG13" s="4" t="n">
        <v>41</v>
      </c>
      <c r="AH13" s="4" t="n"/>
      <c r="AI13" t="inlineStr">
        <is>
          <t>3719</t>
        </is>
      </c>
      <c r="AJ13" t="inlineStr">
        <is>
          <t>N</t>
        </is>
      </c>
      <c r="AK13" t="n">
        <v>0.002</v>
      </c>
    </row>
    <row r="14" hidden="1">
      <c r="A14" s="2" t="n">
        <v>13</v>
      </c>
      <c r="B14" s="2" t="inlineStr">
        <is>
          <t>D26-13</t>
        </is>
      </c>
      <c r="C14" s="2" t="n">
        <v>1</v>
      </c>
      <c r="D14" s="2" t="inlineStr">
        <is>
          <t>Shared</t>
        </is>
      </c>
      <c r="E14" s="2" t="inlineStr">
        <is>
          <t>D26</t>
        </is>
      </c>
      <c r="F14" s="2" t="inlineStr">
        <is>
          <t>Y</t>
        </is>
      </c>
      <c r="G14" s="2" t="n">
        <v>26</v>
      </c>
      <c r="H14" s="2" t="inlineStr">
        <is>
          <t>26um_Current_Min</t>
        </is>
      </c>
      <c r="I14" s="2" t="inlineStr">
        <is>
          <t>P2P3_2FI</t>
        </is>
      </c>
      <c r="J14" s="2" t="inlineStr">
        <is>
          <t>Constrained interaction</t>
        </is>
      </c>
      <c r="K14" s="2" t="inlineStr">
        <is>
          <t>Interaction</t>
        </is>
      </c>
      <c r="L14" s="2" t="inlineStr">
        <is>
          <t>Single</t>
        </is>
      </c>
      <c r="M14" s="2" t="n">
        <v>62</v>
      </c>
      <c r="N14" s="2" t="n">
        <v>0.5</v>
      </c>
      <c r="O14" s="2" t="n">
        <v>32</v>
      </c>
      <c r="P14" s="2" t="n">
        <v>6</v>
      </c>
      <c r="Q14" s="2" t="n">
        <v>1</v>
      </c>
      <c r="R14" s="2" t="n">
        <v>0</v>
      </c>
      <c r="S14" s="2" t="n">
        <v>-1</v>
      </c>
      <c r="T14" s="2" t="n">
        <v>1</v>
      </c>
      <c r="U14" s="2">
        <f>LN(G14)</f>
        <v/>
      </c>
      <c r="V14" s="2" t="inlineStr">
        <is>
          <t>Y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Normal</t>
        </is>
      </c>
      <c r="Z14" s="2" t="inlineStr">
        <is>
          <t>D26 제한조건부 교호작용 점. kV/R/F/W 상호 영향 확인</t>
        </is>
      </c>
      <c r="AA14" s="2" t="n"/>
      <c r="AB14" s="4" t="n">
        <v>19.937</v>
      </c>
      <c r="AC14" s="2">
        <f>IF(AB14="","",AB14/G14)</f>
        <v/>
      </c>
      <c r="AD14" s="2">
        <f>IF(AC14="","",LN(AC14))</f>
        <v/>
      </c>
      <c r="AE14" s="4" t="inlineStr">
        <is>
          <t>Y</t>
        </is>
      </c>
      <c r="AF14" s="4" t="inlineStr">
        <is>
          <t>N</t>
        </is>
      </c>
      <c r="AG14" s="4" t="n">
        <v>41</v>
      </c>
      <c r="AH14" s="4" t="n"/>
      <c r="AI14" t="inlineStr">
        <is>
          <t>3721</t>
        </is>
      </c>
      <c r="AJ14" t="inlineStr">
        <is>
          <t>N</t>
        </is>
      </c>
      <c r="AK14" t="n">
        <v>0</v>
      </c>
    </row>
    <row r="15" hidden="1">
      <c r="A15" s="2" t="n">
        <v>14</v>
      </c>
      <c r="B15" s="2" t="inlineStr">
        <is>
          <t>D26-14</t>
        </is>
      </c>
      <c r="C15" s="2" t="n">
        <v>1</v>
      </c>
      <c r="D15" s="2" t="inlineStr">
        <is>
          <t>Shared</t>
        </is>
      </c>
      <c r="E15" s="2" t="inlineStr">
        <is>
          <t>D26</t>
        </is>
      </c>
      <c r="F15" s="2" t="inlineStr">
        <is>
          <t>Y</t>
        </is>
      </c>
      <c r="G15" s="2" t="n">
        <v>26</v>
      </c>
      <c r="H15" s="2" t="inlineStr">
        <is>
          <t>26um_Current_Min</t>
        </is>
      </c>
      <c r="I15" s="2" t="inlineStr">
        <is>
          <t>P2P3_2FI</t>
        </is>
      </c>
      <c r="J15" s="2" t="inlineStr">
        <is>
          <t>Constrained interaction</t>
        </is>
      </c>
      <c r="K15" s="2" t="inlineStr">
        <is>
          <t>Interaction</t>
        </is>
      </c>
      <c r="L15" s="2" t="inlineStr">
        <is>
          <t>Single</t>
        </is>
      </c>
      <c r="M15" s="2" t="n">
        <v>58</v>
      </c>
      <c r="N15" s="2" t="n">
        <v>0.35</v>
      </c>
      <c r="O15" s="2" t="n">
        <v>128</v>
      </c>
      <c r="P15" s="2" t="n">
        <v>4</v>
      </c>
      <c r="Q15" s="2" t="n">
        <v>-1</v>
      </c>
      <c r="R15" s="2" t="n">
        <v>-1</v>
      </c>
      <c r="S15" s="2" t="n">
        <v>1</v>
      </c>
      <c r="T15" s="2" t="n">
        <v>-1</v>
      </c>
      <c r="U15" s="2">
        <f>LN(G15)</f>
        <v/>
      </c>
      <c r="V15" s="2" t="inlineStr">
        <is>
          <t>Y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Normal</t>
        </is>
      </c>
      <c r="Z15" s="2" t="inlineStr">
        <is>
          <t>D26 제한조건부 교호작용 점. kV/R/F/W 상호 영향 확인</t>
        </is>
      </c>
      <c r="AA15" s="2" t="inlineStr">
        <is>
          <t>R low는 F high와만 사용.</t>
        </is>
      </c>
      <c r="AB15" s="4" t="n">
        <v>21.69</v>
      </c>
      <c r="AC15" s="2">
        <f>IF(AB15="","",AB15/G15)</f>
        <v/>
      </c>
      <c r="AD15" s="2">
        <f>IF(AC15="","",LN(AC15))</f>
        <v/>
      </c>
      <c r="AE15" s="4" t="inlineStr">
        <is>
          <t>Y</t>
        </is>
      </c>
      <c r="AF15" s="4" t="inlineStr">
        <is>
          <t>N</t>
        </is>
      </c>
      <c r="AG15" s="4" t="n">
        <v>59</v>
      </c>
      <c r="AH15" s="4" t="n"/>
      <c r="AI15" t="inlineStr">
        <is>
          <t>3728</t>
        </is>
      </c>
      <c r="AJ15" t="inlineStr">
        <is>
          <t>N</t>
        </is>
      </c>
      <c r="AK15" t="n">
        <v>0</v>
      </c>
    </row>
    <row r="16" hidden="1">
      <c r="A16" s="2" t="n">
        <v>15</v>
      </c>
      <c r="B16" s="2" t="inlineStr">
        <is>
          <t>D26-15</t>
        </is>
      </c>
      <c r="C16" s="2" t="n">
        <v>1</v>
      </c>
      <c r="D16" s="2" t="inlineStr">
        <is>
          <t>Shared</t>
        </is>
      </c>
      <c r="E16" s="2" t="inlineStr">
        <is>
          <t>D26</t>
        </is>
      </c>
      <c r="F16" s="2" t="inlineStr">
        <is>
          <t>Y</t>
        </is>
      </c>
      <c r="G16" s="2" t="n">
        <v>26</v>
      </c>
      <c r="H16" s="2" t="inlineStr">
        <is>
          <t>26um_Current_Min</t>
        </is>
      </c>
      <c r="I16" s="2" t="inlineStr">
        <is>
          <t>P2P3_2FI</t>
        </is>
      </c>
      <c r="J16" s="2" t="inlineStr">
        <is>
          <t>Constrained interaction</t>
        </is>
      </c>
      <c r="K16" s="2" t="inlineStr">
        <is>
          <t>Interaction</t>
        </is>
      </c>
      <c r="L16" s="2" t="inlineStr">
        <is>
          <t>Single</t>
        </is>
      </c>
      <c r="M16" s="2" t="n">
        <v>62</v>
      </c>
      <c r="N16" s="2" t="n">
        <v>0.35</v>
      </c>
      <c r="O16" s="2" t="n">
        <v>128</v>
      </c>
      <c r="P16" s="2" t="n">
        <v>6</v>
      </c>
      <c r="Q16" s="2" t="n">
        <v>1</v>
      </c>
      <c r="R16" s="2" t="n">
        <v>-1</v>
      </c>
      <c r="S16" s="2" t="n">
        <v>1</v>
      </c>
      <c r="T16" s="2" t="n">
        <v>1</v>
      </c>
      <c r="U16" s="2">
        <f>LN(G16)</f>
        <v/>
      </c>
      <c r="V16" s="2" t="inlineStr">
        <is>
          <t>Y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Normal</t>
        </is>
      </c>
      <c r="Z16" s="2" t="inlineStr">
        <is>
          <t>D26 제한조건부 교호작용 점. kV/R/F/W 상호 영향 확인</t>
        </is>
      </c>
      <c r="AA16" s="2" t="inlineStr">
        <is>
          <t>R low는 F high와만 사용.</t>
        </is>
      </c>
      <c r="AB16" s="4" t="n">
        <v>21.622</v>
      </c>
      <c r="AC16" s="2">
        <f>IF(AB16="","",AB16/G16)</f>
        <v/>
      </c>
      <c r="AD16" s="2">
        <f>IF(AC16="","",LN(AC16))</f>
        <v/>
      </c>
      <c r="AE16" s="4" t="inlineStr">
        <is>
          <t>Y</t>
        </is>
      </c>
      <c r="AF16" s="4" t="inlineStr">
        <is>
          <t>N</t>
        </is>
      </c>
      <c r="AG16" s="4" t="n">
        <v>86</v>
      </c>
      <c r="AH16" s="4" t="n"/>
      <c r="AI16" t="inlineStr">
        <is>
          <t>3729</t>
        </is>
      </c>
      <c r="AJ16" t="inlineStr">
        <is>
          <t>N</t>
        </is>
      </c>
      <c r="AK16" t="n">
        <v>1.435</v>
      </c>
    </row>
    <row r="17" hidden="1">
      <c r="A17" s="2" t="n">
        <v>16</v>
      </c>
      <c r="B17" s="2" t="inlineStr">
        <is>
          <t>D26-16</t>
        </is>
      </c>
      <c r="C17" s="2" t="n">
        <v>1</v>
      </c>
      <c r="D17" s="2" t="inlineStr">
        <is>
          <t>Shared</t>
        </is>
      </c>
      <c r="E17" s="2" t="inlineStr">
        <is>
          <t>D26</t>
        </is>
      </c>
      <c r="F17" s="2" t="inlineStr">
        <is>
          <t>Y</t>
        </is>
      </c>
      <c r="G17" s="2" t="n">
        <v>26</v>
      </c>
      <c r="H17" s="2" t="inlineStr">
        <is>
          <t>26um_Current_Min</t>
        </is>
      </c>
      <c r="I17" s="2" t="inlineStr">
        <is>
          <t>P2P3_2FI</t>
        </is>
      </c>
      <c r="J17" s="2" t="inlineStr">
        <is>
          <t>Constrained interaction</t>
        </is>
      </c>
      <c r="K17" s="2" t="inlineStr">
        <is>
          <t>Interaction</t>
        </is>
      </c>
      <c r="L17" s="2" t="inlineStr">
        <is>
          <t>Single</t>
        </is>
      </c>
      <c r="M17" s="2" t="n">
        <v>58</v>
      </c>
      <c r="N17" s="2" t="n">
        <v>0.65</v>
      </c>
      <c r="O17" s="2" t="n">
        <v>32</v>
      </c>
      <c r="P17" s="2" t="n">
        <v>6</v>
      </c>
      <c r="Q17" s="2" t="n">
        <v>-1</v>
      </c>
      <c r="R17" s="2" t="n">
        <v>1</v>
      </c>
      <c r="S17" s="2" t="n">
        <v>-1</v>
      </c>
      <c r="T17" s="2" t="n">
        <v>1</v>
      </c>
      <c r="U17" s="2">
        <f>LN(G17)</f>
        <v/>
      </c>
      <c r="V17" s="2" t="inlineStr">
        <is>
          <t>Y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Normal</t>
        </is>
      </c>
      <c r="Z17" s="2" t="inlineStr">
        <is>
          <t>D26 제한조건부 교호작용 점. kV/R/F/W 상호 영향 확인</t>
        </is>
      </c>
      <c r="AA17" s="2" t="n"/>
      <c r="AB17" s="4" t="n">
        <v>21.146</v>
      </c>
      <c r="AC17" s="2">
        <f>IF(AB17="","",AB17/G17)</f>
        <v/>
      </c>
      <c r="AD17" s="2">
        <f>IF(AC17="","",LN(AC17))</f>
        <v/>
      </c>
      <c r="AE17" s="4" t="inlineStr">
        <is>
          <t>Y</t>
        </is>
      </c>
      <c r="AF17" s="4" t="inlineStr">
        <is>
          <t>N</t>
        </is>
      </c>
      <c r="AG17" s="4" t="n">
        <v>53</v>
      </c>
      <c r="AH17" s="4" t="n"/>
      <c r="AI17" t="inlineStr">
        <is>
          <t>3730</t>
        </is>
      </c>
      <c r="AJ17" t="inlineStr">
        <is>
          <t>N</t>
        </is>
      </c>
      <c r="AK17" t="n">
        <v>0</v>
      </c>
    </row>
    <row r="18" hidden="1">
      <c r="A18" s="2" t="n">
        <v>17</v>
      </c>
      <c r="B18" s="2" t="inlineStr">
        <is>
          <t>D26-17</t>
        </is>
      </c>
      <c r="C18" s="2" t="n">
        <v>1</v>
      </c>
      <c r="D18" s="2" t="inlineStr">
        <is>
          <t>Shared</t>
        </is>
      </c>
      <c r="E18" s="2" t="inlineStr">
        <is>
          <t>D26</t>
        </is>
      </c>
      <c r="F18" s="2" t="inlineStr">
        <is>
          <t>Y</t>
        </is>
      </c>
      <c r="G18" s="2" t="n">
        <v>26</v>
      </c>
      <c r="H18" s="2" t="inlineStr">
        <is>
          <t>26um_Current_Min</t>
        </is>
      </c>
      <c r="I18" s="2" t="inlineStr">
        <is>
          <t>P2P3_2FI</t>
        </is>
      </c>
      <c r="J18" s="2" t="inlineStr">
        <is>
          <t>Constrained interaction</t>
        </is>
      </c>
      <c r="K18" s="2" t="inlineStr">
        <is>
          <t>Interaction</t>
        </is>
      </c>
      <c r="L18" s="2" t="inlineStr">
        <is>
          <t>Single</t>
        </is>
      </c>
      <c r="M18" s="2" t="n">
        <v>62</v>
      </c>
      <c r="N18" s="2" t="n">
        <v>0.65</v>
      </c>
      <c r="O18" s="2" t="n">
        <v>32</v>
      </c>
      <c r="P18" s="2" t="n">
        <v>4</v>
      </c>
      <c r="Q18" s="2" t="n">
        <v>1</v>
      </c>
      <c r="R18" s="2" t="n">
        <v>1</v>
      </c>
      <c r="S18" s="2" t="n">
        <v>-1</v>
      </c>
      <c r="T18" s="2" t="n">
        <v>-1</v>
      </c>
      <c r="U18" s="2">
        <f>LN(G18)</f>
        <v/>
      </c>
      <c r="V18" s="2" t="inlineStr">
        <is>
          <t>Y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Normal</t>
        </is>
      </c>
      <c r="Z18" s="2" t="inlineStr">
        <is>
          <t>D26 제한조건부 교호작용 점. kV/R/F/W 상호 영향 확인</t>
        </is>
      </c>
      <c r="AA18" s="2" t="n"/>
      <c r="AB18" s="4" t="n">
        <v>22.947</v>
      </c>
      <c r="AC18" s="2">
        <f>IF(AB18="","",AB18/G18)</f>
        <v/>
      </c>
      <c r="AD18" s="2">
        <f>IF(AC18="","",LN(AC18))</f>
        <v/>
      </c>
      <c r="AE18" s="4" t="inlineStr">
        <is>
          <t>Y</t>
        </is>
      </c>
      <c r="AF18" s="4" t="inlineStr">
        <is>
          <t>N</t>
        </is>
      </c>
      <c r="AG18" s="4" t="n">
        <v>210</v>
      </c>
      <c r="AH18" s="4" t="n"/>
      <c r="AI18" t="inlineStr">
        <is>
          <t>3731</t>
        </is>
      </c>
      <c r="AJ18" t="inlineStr">
        <is>
          <t>N</t>
        </is>
      </c>
      <c r="AK18" t="n">
        <v>2.718</v>
      </c>
    </row>
    <row r="19" hidden="1">
      <c r="A19" s="2" t="n">
        <v>18</v>
      </c>
      <c r="B19" s="2" t="inlineStr">
        <is>
          <t>D26-18</t>
        </is>
      </c>
      <c r="C19" s="2" t="n">
        <v>1</v>
      </c>
      <c r="D19" s="2" t="inlineStr">
        <is>
          <t>Shared</t>
        </is>
      </c>
      <c r="E19" s="2" t="inlineStr">
        <is>
          <t>D26</t>
        </is>
      </c>
      <c r="F19" s="2" t="inlineStr">
        <is>
          <t>Y</t>
        </is>
      </c>
      <c r="G19" s="2" t="n">
        <v>26</v>
      </c>
      <c r="H19" s="2" t="inlineStr">
        <is>
          <t>26um_Current_Min</t>
        </is>
      </c>
      <c r="I19" s="2" t="inlineStr">
        <is>
          <t>P2P3_2FI</t>
        </is>
      </c>
      <c r="J19" s="2" t="inlineStr">
        <is>
          <t>Constrained interaction</t>
        </is>
      </c>
      <c r="K19" s="2" t="inlineStr">
        <is>
          <t>Interaction</t>
        </is>
      </c>
      <c r="L19" s="2" t="inlineStr">
        <is>
          <t>Single</t>
        </is>
      </c>
      <c r="M19" s="2" t="n">
        <v>58</v>
      </c>
      <c r="N19" s="2" t="n">
        <v>0.5</v>
      </c>
      <c r="O19" s="2" t="n">
        <v>128</v>
      </c>
      <c r="P19" s="2" t="n">
        <v>6</v>
      </c>
      <c r="Q19" s="2" t="n">
        <v>-1</v>
      </c>
      <c r="R19" s="2" t="n">
        <v>0</v>
      </c>
      <c r="S19" s="2" t="n">
        <v>1</v>
      </c>
      <c r="T19" s="2" t="n">
        <v>1</v>
      </c>
      <c r="U19" s="2">
        <f>LN(G19)</f>
        <v/>
      </c>
      <c r="V19" s="2" t="inlineStr">
        <is>
          <t>Y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Normal</t>
        </is>
      </c>
      <c r="Z19" s="2" t="inlineStr">
        <is>
          <t>D26 제한조건부 교호작용 점. kV/R/F/W 상호 영향 확인</t>
        </is>
      </c>
      <c r="AA19" s="2" t="n"/>
      <c r="AB19" s="4" t="n">
        <v>21.4</v>
      </c>
      <c r="AC19" s="2">
        <f>IF(AB19="","",AB19/G19)</f>
        <v/>
      </c>
      <c r="AD19" s="2">
        <f>IF(AC19="","",LN(AC19))</f>
        <v/>
      </c>
      <c r="AE19" s="4" t="inlineStr">
        <is>
          <t>Y</t>
        </is>
      </c>
      <c r="AF19" s="4" t="inlineStr">
        <is>
          <t>N</t>
        </is>
      </c>
      <c r="AG19" s="4" t="n">
        <v>65</v>
      </c>
      <c r="AH19" s="4" t="n"/>
      <c r="AI19" t="inlineStr">
        <is>
          <t>3732</t>
        </is>
      </c>
      <c r="AJ19" t="inlineStr">
        <is>
          <t>N</t>
        </is>
      </c>
      <c r="AK19" t="n">
        <v>0</v>
      </c>
    </row>
    <row r="20" hidden="1">
      <c r="A20" s="2" t="n">
        <v>19</v>
      </c>
      <c r="B20" s="2" t="inlineStr">
        <is>
          <t>D26-19</t>
        </is>
      </c>
      <c r="C20" s="2" t="n">
        <v>1</v>
      </c>
      <c r="D20" s="2" t="inlineStr">
        <is>
          <t>Shared</t>
        </is>
      </c>
      <c r="E20" s="2" t="inlineStr">
        <is>
          <t>D26</t>
        </is>
      </c>
      <c r="F20" s="2" t="inlineStr">
        <is>
          <t>Y</t>
        </is>
      </c>
      <c r="G20" s="2" t="n">
        <v>26</v>
      </c>
      <c r="H20" s="2" t="inlineStr">
        <is>
          <t>26um_Current_Min</t>
        </is>
      </c>
      <c r="I20" s="2" t="inlineStr">
        <is>
          <t>P2P3_2FI</t>
        </is>
      </c>
      <c r="J20" s="2" t="inlineStr">
        <is>
          <t>Constrained interaction</t>
        </is>
      </c>
      <c r="K20" s="2" t="inlineStr">
        <is>
          <t>Interaction</t>
        </is>
      </c>
      <c r="L20" s="2" t="inlineStr">
        <is>
          <t>Single</t>
        </is>
      </c>
      <c r="M20" s="2" t="n">
        <v>62</v>
      </c>
      <c r="N20" s="2" t="n">
        <v>0.5</v>
      </c>
      <c r="O20" s="2" t="n">
        <v>128</v>
      </c>
      <c r="P20" s="2" t="n">
        <v>4</v>
      </c>
      <c r="Q20" s="2" t="n">
        <v>1</v>
      </c>
      <c r="R20" s="2" t="n">
        <v>0</v>
      </c>
      <c r="S20" s="2" t="n">
        <v>1</v>
      </c>
      <c r="T20" s="2" t="n">
        <v>-1</v>
      </c>
      <c r="U20" s="2">
        <f>LN(G20)</f>
        <v/>
      </c>
      <c r="V20" s="2" t="inlineStr">
        <is>
          <t>Y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Normal</t>
        </is>
      </c>
      <c r="Z20" s="2" t="inlineStr">
        <is>
          <t>D26 제한조건부 교호작용 점. kV/R/F/W 상호 영향 확인</t>
        </is>
      </c>
      <c r="AA20" s="2" t="n"/>
      <c r="AB20" s="4" t="n">
        <v>20.465</v>
      </c>
      <c r="AC20" s="2">
        <f>IF(AB20="","",AB20/G20)</f>
        <v/>
      </c>
      <c r="AD20" s="2">
        <f>IF(AC20="","",LN(AC20))</f>
        <v/>
      </c>
      <c r="AE20" s="4" t="inlineStr">
        <is>
          <t>Y</t>
        </is>
      </c>
      <c r="AF20" s="4" t="inlineStr">
        <is>
          <t>N</t>
        </is>
      </c>
      <c r="AG20" s="4" t="n">
        <v>86</v>
      </c>
      <c r="AH20" s="4" t="n"/>
      <c r="AI20" t="inlineStr">
        <is>
          <t>3733</t>
        </is>
      </c>
      <c r="AJ20" t="inlineStr">
        <is>
          <t>N</t>
        </is>
      </c>
      <c r="AK20" t="n">
        <v>0</v>
      </c>
    </row>
    <row r="21">
      <c r="A21" s="2" t="n">
        <v>25</v>
      </c>
      <c r="B21" s="2" t="inlineStr">
        <is>
          <t>D86-06</t>
        </is>
      </c>
      <c r="C21" s="2" t="n">
        <v>1</v>
      </c>
      <c r="D21" s="2" t="inlineStr">
        <is>
          <t>Shared</t>
        </is>
      </c>
      <c r="E21" s="2" t="inlineStr">
        <is>
          <t>D86</t>
        </is>
      </c>
      <c r="F21" s="2" t="inlineStr">
        <is>
          <t>Y</t>
        </is>
      </c>
      <c r="G21" s="2" t="n">
        <v>86</v>
      </c>
      <c r="H21" s="2" t="inlineStr">
        <is>
          <t>86um_Current_Mid</t>
        </is>
      </c>
      <c r="I21" s="2" t="inlineStr">
        <is>
          <t>P2_RF</t>
        </is>
      </c>
      <c r="J21" s="2" t="inlineStr">
        <is>
          <t>R low axial</t>
        </is>
      </c>
      <c r="K21" s="2" t="inlineStr">
        <is>
          <t>Axial_R_L</t>
        </is>
      </c>
      <c r="L21" s="2" t="inlineStr">
        <is>
          <t>Single</t>
        </is>
      </c>
      <c r="M21" s="2" t="n">
        <v>60.5</v>
      </c>
      <c r="N21" s="2" t="n">
        <v>0.5</v>
      </c>
      <c r="O21" s="2" t="n">
        <v>64</v>
      </c>
      <c r="P21" s="2" t="n">
        <v>4</v>
      </c>
      <c r="Q21" s="2" t="n">
        <v>0</v>
      </c>
      <c r="R21" s="2" t="n">
        <v>-1</v>
      </c>
      <c r="S21" s="2" t="n">
        <v>0</v>
      </c>
      <c r="T21" s="2" t="n">
        <v>0</v>
      </c>
      <c r="U21" s="2">
        <f>LN(G21)</f>
        <v/>
      </c>
      <c r="V21" s="2" t="inlineStr">
        <is>
          <t>Y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Normal</t>
        </is>
      </c>
      <c r="Z21" s="2" t="inlineStr">
        <is>
          <t>fine R 영향 확인</t>
        </is>
      </c>
      <c r="AA21" s="2" t="n"/>
      <c r="AB21" s="4" t="n">
        <v>85.81699999999999</v>
      </c>
      <c r="AC21" s="2">
        <f>IF(AB21="","",AB21/G21)</f>
        <v/>
      </c>
      <c r="AD21" s="2">
        <f>IF(AC21="","",LN(AC21))</f>
        <v/>
      </c>
      <c r="AE21" s="4" t="inlineStr">
        <is>
          <t>Y</t>
        </is>
      </c>
      <c r="AF21" s="4" t="inlineStr">
        <is>
          <t>N</t>
        </is>
      </c>
      <c r="AG21" s="4" t="n">
        <v>59</v>
      </c>
      <c r="AH21" s="4" t="n"/>
      <c r="AI21" t="inlineStr">
        <is>
          <t>3736</t>
        </is>
      </c>
      <c r="AJ21" t="inlineStr">
        <is>
          <t>N</t>
        </is>
      </c>
      <c r="AK21" t="n">
        <v>0</v>
      </c>
    </row>
    <row r="22">
      <c r="A22" s="2" t="n">
        <v>31</v>
      </c>
      <c r="B22" s="2" t="inlineStr">
        <is>
          <t>D86-12</t>
        </is>
      </c>
      <c r="C22" s="2" t="n">
        <v>1</v>
      </c>
      <c r="D22" s="2" t="inlineStr">
        <is>
          <t>Shared</t>
        </is>
      </c>
      <c r="E22" s="2" t="inlineStr">
        <is>
          <t>D86</t>
        </is>
      </c>
      <c r="F22" s="2" t="inlineStr">
        <is>
          <t>Y</t>
        </is>
      </c>
      <c r="G22" s="2" t="n">
        <v>86</v>
      </c>
      <c r="H22" s="2" t="inlineStr">
        <is>
          <t>86um_Current_Mid</t>
        </is>
      </c>
      <c r="I22" s="2" t="inlineStr">
        <is>
          <t>P2P3_2FI</t>
        </is>
      </c>
      <c r="J22" s="2" t="inlineStr">
        <is>
          <t>Half-fraction interaction</t>
        </is>
      </c>
      <c r="K22" s="2" t="inlineStr">
        <is>
          <t>Interaction</t>
        </is>
      </c>
      <c r="L22" s="2" t="inlineStr">
        <is>
          <t>Single</t>
        </is>
      </c>
      <c r="M22" s="2" t="n">
        <v>58.5</v>
      </c>
      <c r="N22" s="2" t="n">
        <v>0.5</v>
      </c>
      <c r="O22" s="2" t="n">
        <v>32</v>
      </c>
      <c r="P22" s="2" t="n">
        <v>4</v>
      </c>
      <c r="Q22" s="2" t="n">
        <v>-1</v>
      </c>
      <c r="R22" s="2" t="n">
        <v>-1</v>
      </c>
      <c r="S22" s="2" t="n">
        <v>-1</v>
      </c>
      <c r="T22" s="2" t="n">
        <v>-1</v>
      </c>
      <c r="U22" s="2">
        <f>LN(G22)</f>
        <v/>
      </c>
      <c r="V22" s="2" t="inlineStr">
        <is>
          <t>Y</t>
        </is>
      </c>
      <c r="W22" s="2" t="inlineStr">
        <is>
          <t>Y</t>
        </is>
      </c>
      <c r="X22" s="2" t="inlineStr">
        <is>
          <t>N</t>
        </is>
      </c>
      <c r="Y22" s="2" t="inlineStr">
        <is>
          <t>Normal</t>
        </is>
      </c>
      <c r="Z22" s="2" t="inlineStr">
        <is>
          <t>D86 kV/R/F/W 교호작용 점. 2^(4-1) 구조. F 하한은 32</t>
        </is>
      </c>
      <c r="AA22" s="2" t="n"/>
      <c r="AB22" s="4" t="n">
        <v>82.861</v>
      </c>
      <c r="AC22" s="2">
        <f>IF(AB22="","",AB22/G22)</f>
        <v/>
      </c>
      <c r="AD22" s="2">
        <f>IF(AC22="","",LN(AC22))</f>
        <v/>
      </c>
      <c r="AE22" s="4" t="inlineStr">
        <is>
          <t>Y</t>
        </is>
      </c>
      <c r="AF22" s="4" t="inlineStr">
        <is>
          <t>N</t>
        </is>
      </c>
      <c r="AG22" s="4" t="n">
        <v>12</v>
      </c>
      <c r="AH22" s="4" t="n"/>
      <c r="AI22" t="inlineStr">
        <is>
          <t>3742</t>
        </is>
      </c>
      <c r="AJ22" t="inlineStr">
        <is>
          <t>N</t>
        </is>
      </c>
      <c r="AK22" t="n">
        <v>0</v>
      </c>
    </row>
    <row r="23">
      <c r="A23" s="2" t="n">
        <v>32</v>
      </c>
      <c r="B23" s="2" t="inlineStr">
        <is>
          <t>D86-13</t>
        </is>
      </c>
      <c r="C23" s="2" t="n">
        <v>1</v>
      </c>
      <c r="D23" s="2" t="inlineStr">
        <is>
          <t>Shared</t>
        </is>
      </c>
      <c r="E23" s="2" t="inlineStr">
        <is>
          <t>D86</t>
        </is>
      </c>
      <c r="F23" s="2" t="inlineStr">
        <is>
          <t>Y</t>
        </is>
      </c>
      <c r="G23" s="2" t="n">
        <v>86</v>
      </c>
      <c r="H23" s="2" t="inlineStr">
        <is>
          <t>86um_Current_Mid</t>
        </is>
      </c>
      <c r="I23" s="2" t="inlineStr">
        <is>
          <t>P2P3_2FI</t>
        </is>
      </c>
      <c r="J23" s="2" t="inlineStr">
        <is>
          <t>Half-fraction interaction</t>
        </is>
      </c>
      <c r="K23" s="2" t="inlineStr">
        <is>
          <t>Interaction</t>
        </is>
      </c>
      <c r="L23" s="2" t="inlineStr">
        <is>
          <t>Single</t>
        </is>
      </c>
      <c r="M23" s="2" t="n">
        <v>58.5</v>
      </c>
      <c r="N23" s="2" t="n">
        <v>0.5</v>
      </c>
      <c r="O23" s="2" t="n">
        <v>128</v>
      </c>
      <c r="P23" s="2" t="n">
        <v>6</v>
      </c>
      <c r="Q23" s="2" t="n">
        <v>-1</v>
      </c>
      <c r="R23" s="2" t="n">
        <v>-1</v>
      </c>
      <c r="S23" s="2" t="n">
        <v>1</v>
      </c>
      <c r="T23" s="2" t="n">
        <v>1</v>
      </c>
      <c r="U23" s="2">
        <f>LN(G23)</f>
        <v/>
      </c>
      <c r="V23" s="2" t="inlineStr">
        <is>
          <t>Y</t>
        </is>
      </c>
      <c r="W23" s="2" t="inlineStr">
        <is>
          <t>Y</t>
        </is>
      </c>
      <c r="X23" s="2" t="inlineStr">
        <is>
          <t>N</t>
        </is>
      </c>
      <c r="Y23" s="2" t="inlineStr">
        <is>
          <t>Normal</t>
        </is>
      </c>
      <c r="Z23" s="2" t="inlineStr">
        <is>
          <t>D86 kV/R/F/W 교호작용 점. 2^(4-1) 구조. F 하한은 32</t>
        </is>
      </c>
      <c r="AA23" s="2" t="n"/>
      <c r="AB23" s="4" t="n">
        <v>82.98999999999999</v>
      </c>
      <c r="AC23" s="2">
        <f>IF(AB23="","",AB23/G23)</f>
        <v/>
      </c>
      <c r="AD23" s="2">
        <f>IF(AC23="","",LN(AC23))</f>
        <v/>
      </c>
      <c r="AE23" s="4" t="inlineStr">
        <is>
          <t>Y</t>
        </is>
      </c>
      <c r="AF23" s="4" t="inlineStr">
        <is>
          <t>N</t>
        </is>
      </c>
      <c r="AG23" s="4" t="n">
        <v>63</v>
      </c>
      <c r="AH23" s="4" t="n"/>
      <c r="AI23" t="inlineStr">
        <is>
          <t>3743</t>
        </is>
      </c>
      <c r="AJ23" t="inlineStr">
        <is>
          <t>N</t>
        </is>
      </c>
      <c r="AK23" t="n">
        <v>0</v>
      </c>
    </row>
    <row r="24">
      <c r="A24" s="2" t="n">
        <v>35</v>
      </c>
      <c r="B24" s="2" t="inlineStr">
        <is>
          <t>D86-16</t>
        </is>
      </c>
      <c r="C24" s="2" t="n">
        <v>1</v>
      </c>
      <c r="D24" s="2" t="inlineStr">
        <is>
          <t>Shared</t>
        </is>
      </c>
      <c r="E24" s="2" t="inlineStr">
        <is>
          <t>D86</t>
        </is>
      </c>
      <c r="F24" s="2" t="inlineStr">
        <is>
          <t>Y</t>
        </is>
      </c>
      <c r="G24" s="2" t="n">
        <v>86</v>
      </c>
      <c r="H24" s="2" t="inlineStr">
        <is>
          <t>86um_Current_Mid</t>
        </is>
      </c>
      <c r="I24" s="2" t="inlineStr">
        <is>
          <t>P2P3_2FI</t>
        </is>
      </c>
      <c r="J24" s="2" t="inlineStr">
        <is>
          <t>Half-fraction interaction</t>
        </is>
      </c>
      <c r="K24" s="2" t="inlineStr">
        <is>
          <t>Interaction</t>
        </is>
      </c>
      <c r="L24" s="2" t="inlineStr">
        <is>
          <t>Single</t>
        </is>
      </c>
      <c r="M24" s="2" t="n">
        <v>62.5</v>
      </c>
      <c r="N24" s="2" t="n">
        <v>0.5</v>
      </c>
      <c r="O24" s="2" t="n">
        <v>32</v>
      </c>
      <c r="P24" s="2" t="n">
        <v>6</v>
      </c>
      <c r="Q24" s="2" t="n">
        <v>1</v>
      </c>
      <c r="R24" s="2" t="n">
        <v>-1</v>
      </c>
      <c r="S24" s="2" t="n">
        <v>-1</v>
      </c>
      <c r="T24" s="2" t="n">
        <v>1</v>
      </c>
      <c r="U24" s="2">
        <f>LN(G24)</f>
        <v/>
      </c>
      <c r="V24" s="2" t="inlineStr">
        <is>
          <t>Y</t>
        </is>
      </c>
      <c r="W24" s="2" t="inlineStr">
        <is>
          <t>Y</t>
        </is>
      </c>
      <c r="X24" s="2" t="inlineStr">
        <is>
          <t>N</t>
        </is>
      </c>
      <c r="Y24" s="2" t="inlineStr">
        <is>
          <t>Normal</t>
        </is>
      </c>
      <c r="Z24" s="2" t="inlineStr">
        <is>
          <t>D86 kV/R/F/W 교호작용 점. 2^(4-1) 구조. F 하한은 32</t>
        </is>
      </c>
      <c r="AA24" s="2" t="n"/>
      <c r="AB24" s="4" t="n">
        <v>73.41500000000001</v>
      </c>
      <c r="AC24" s="2">
        <f>IF(AB24="","",AB24/G24)</f>
        <v/>
      </c>
      <c r="AD24" s="2">
        <f>IF(AC24="","",LN(AC24))</f>
        <v/>
      </c>
      <c r="AE24" s="4" t="inlineStr">
        <is>
          <t>Y</t>
        </is>
      </c>
      <c r="AF24" s="4" t="inlineStr">
        <is>
          <t>N</t>
        </is>
      </c>
      <c r="AG24" s="4" t="n">
        <v>14</v>
      </c>
      <c r="AH24" s="4" t="n"/>
      <c r="AI24" t="inlineStr">
        <is>
          <t>3746</t>
        </is>
      </c>
      <c r="AJ24" t="inlineStr">
        <is>
          <t>N</t>
        </is>
      </c>
      <c r="AK24" t="n">
        <v>0</v>
      </c>
    </row>
    <row r="25">
      <c r="A25" s="2" t="n">
        <v>36</v>
      </c>
      <c r="B25" s="2" t="inlineStr">
        <is>
          <t>D86-17</t>
        </is>
      </c>
      <c r="C25" s="2" t="n">
        <v>1</v>
      </c>
      <c r="D25" s="2" t="inlineStr">
        <is>
          <t>Shared</t>
        </is>
      </c>
      <c r="E25" s="2" t="inlineStr">
        <is>
          <t>D86</t>
        </is>
      </c>
      <c r="F25" s="2" t="inlineStr">
        <is>
          <t>Y</t>
        </is>
      </c>
      <c r="G25" s="2" t="n">
        <v>86</v>
      </c>
      <c r="H25" s="2" t="inlineStr">
        <is>
          <t>86um_Current_Mid</t>
        </is>
      </c>
      <c r="I25" s="2" t="inlineStr">
        <is>
          <t>P2P3_2FI</t>
        </is>
      </c>
      <c r="J25" s="2" t="inlineStr">
        <is>
          <t>Half-fraction interaction</t>
        </is>
      </c>
      <c r="K25" s="2" t="inlineStr">
        <is>
          <t>Interaction</t>
        </is>
      </c>
      <c r="L25" s="2" t="inlineStr">
        <is>
          <t>Single</t>
        </is>
      </c>
      <c r="M25" s="2" t="n">
        <v>62.5</v>
      </c>
      <c r="N25" s="2" t="n">
        <v>0.5</v>
      </c>
      <c r="O25" s="2" t="n">
        <v>128</v>
      </c>
      <c r="P25" s="2" t="n">
        <v>4</v>
      </c>
      <c r="Q25" s="2" t="n">
        <v>1</v>
      </c>
      <c r="R25" s="2" t="n">
        <v>-1</v>
      </c>
      <c r="S25" s="2" t="n">
        <v>1</v>
      </c>
      <c r="T25" s="2" t="n">
        <v>-1</v>
      </c>
      <c r="U25" s="2">
        <f>LN(G25)</f>
        <v/>
      </c>
      <c r="V25" s="2" t="inlineStr">
        <is>
          <t>Y</t>
        </is>
      </c>
      <c r="W25" s="2" t="inlineStr">
        <is>
          <t>Y</t>
        </is>
      </c>
      <c r="X25" s="2" t="inlineStr">
        <is>
          <t>N</t>
        </is>
      </c>
      <c r="Y25" s="2" t="inlineStr">
        <is>
          <t>Normal</t>
        </is>
      </c>
      <c r="Z25" s="2" t="inlineStr">
        <is>
          <t>D86 kV/R/F/W 교호작용 점. 2^(4-1) 구조. F 하한은 32</t>
        </is>
      </c>
      <c r="AA25" s="2" t="n"/>
      <c r="AB25" s="4" t="n">
        <v>71.33199999999999</v>
      </c>
      <c r="AC25" s="2">
        <f>IF(AB25="","",AB25/G25)</f>
        <v/>
      </c>
      <c r="AD25" s="2">
        <f>IF(AC25="","",LN(AC25))</f>
        <v/>
      </c>
      <c r="AE25" s="4" t="inlineStr">
        <is>
          <t>Y</t>
        </is>
      </c>
      <c r="AF25" s="4" t="inlineStr">
        <is>
          <t>N</t>
        </is>
      </c>
      <c r="AG25" s="4" t="n">
        <v>29</v>
      </c>
      <c r="AH25" s="4" t="n"/>
      <c r="AI25" t="inlineStr">
        <is>
          <t>3747</t>
        </is>
      </c>
      <c r="AJ25" t="inlineStr">
        <is>
          <t>N</t>
        </is>
      </c>
      <c r="AK25" t="n">
        <v>0</v>
      </c>
    </row>
    <row r="26">
      <c r="A26" s="2" t="n">
        <v>20</v>
      </c>
      <c r="B26" s="2" t="inlineStr">
        <is>
          <t>D86-01</t>
        </is>
      </c>
      <c r="C26" s="2" t="n">
        <v>1</v>
      </c>
      <c r="D26" s="2" t="inlineStr">
        <is>
          <t>Shared</t>
        </is>
      </c>
      <c r="E26" s="2" t="inlineStr">
        <is>
          <t>D86</t>
        </is>
      </c>
      <c r="F26" s="2" t="inlineStr">
        <is>
          <t>Y</t>
        </is>
      </c>
      <c r="G26" s="2" t="n">
        <v>86</v>
      </c>
      <c r="H26" s="2" t="inlineStr">
        <is>
          <t>86um_Current_Mid</t>
        </is>
      </c>
      <c r="I26" s="2" t="inlineStr">
        <is>
          <t>P0_Center</t>
        </is>
      </c>
      <c r="J26" s="2" t="inlineStr">
        <is>
          <t>Center repeat</t>
        </is>
      </c>
      <c r="K26" s="2" t="inlineStr">
        <is>
          <t>Center</t>
        </is>
      </c>
      <c r="L26" s="2" t="inlineStr">
        <is>
          <t>Rep1</t>
        </is>
      </c>
      <c r="M26" s="2" t="n">
        <v>60.5</v>
      </c>
      <c r="N26" s="2" t="n">
        <v>0.8</v>
      </c>
      <c r="O26" s="2" t="n">
        <v>64</v>
      </c>
      <c r="P26" s="2" t="n">
        <v>4</v>
      </c>
      <c r="Q26" s="2" t="n">
        <v>0</v>
      </c>
      <c r="R26" s="2" t="n">
        <v>0</v>
      </c>
      <c r="S26" s="2" t="n">
        <v>0</v>
      </c>
      <c r="T26" s="2" t="n">
        <v>0</v>
      </c>
      <c r="U26" s="2">
        <f>LN(G26)</f>
        <v/>
      </c>
      <c r="V26" s="2" t="inlineStr">
        <is>
          <t>Y</t>
        </is>
      </c>
      <c r="W26" s="2" t="inlineStr">
        <is>
          <t>Y</t>
        </is>
      </c>
      <c r="X26" s="2" t="inlineStr">
        <is>
          <t>N</t>
        </is>
      </c>
      <c r="Y26" s="2" t="inlineStr">
        <is>
          <t>Normal</t>
        </is>
      </c>
      <c r="Z26" s="2" t="inlineStr">
        <is>
          <t>86um 중심 조건 반복. 반복오차/기준 Q_dia 확보</t>
        </is>
      </c>
      <c r="AA26" s="2" t="inlineStr">
        <is>
          <t>F64 중심. 기존 F32 안정성 대비 여유 조건</t>
        </is>
      </c>
      <c r="AB26" s="4" t="n">
        <v>85.55800000000001</v>
      </c>
      <c r="AC26" s="2">
        <f>IF(AB26="","",AB26/G26)</f>
        <v/>
      </c>
      <c r="AD26" s="2">
        <f>IF(AC26="","",LN(AC26))</f>
        <v/>
      </c>
      <c r="AE26" s="4" t="inlineStr">
        <is>
          <t>Y</t>
        </is>
      </c>
      <c r="AF26" s="4" t="inlineStr">
        <is>
          <t>N</t>
        </is>
      </c>
      <c r="AG26" s="4" t="n">
        <v>210</v>
      </c>
      <c r="AH26" s="4" t="n"/>
      <c r="AI26" t="inlineStr">
        <is>
          <t>3725</t>
        </is>
      </c>
      <c r="AJ26" t="inlineStr">
        <is>
          <t>Y</t>
        </is>
      </c>
      <c r="AK26" t="n">
        <v>0</v>
      </c>
    </row>
    <row r="27">
      <c r="A27" s="2" t="n">
        <v>21</v>
      </c>
      <c r="B27" s="2" t="inlineStr">
        <is>
          <t>D86-02</t>
        </is>
      </c>
      <c r="C27" s="2" t="n">
        <v>1</v>
      </c>
      <c r="D27" s="2" t="inlineStr">
        <is>
          <t>Shared</t>
        </is>
      </c>
      <c r="E27" s="2" t="inlineStr">
        <is>
          <t>D86</t>
        </is>
      </c>
      <c r="F27" s="2" t="inlineStr">
        <is>
          <t>Y</t>
        </is>
      </c>
      <c r="G27" s="2" t="n">
        <v>86</v>
      </c>
      <c r="H27" s="2" t="inlineStr">
        <is>
          <t>86um_Current_Mid</t>
        </is>
      </c>
      <c r="I27" s="2" t="inlineStr">
        <is>
          <t>P0_Center</t>
        </is>
      </c>
      <c r="J27" s="2" t="inlineStr">
        <is>
          <t>Center repeat</t>
        </is>
      </c>
      <c r="K27" s="2" t="inlineStr">
        <is>
          <t>Center</t>
        </is>
      </c>
      <c r="L27" s="2" t="inlineStr">
        <is>
          <t>Rep2</t>
        </is>
      </c>
      <c r="M27" s="2" t="n">
        <v>60.5</v>
      </c>
      <c r="N27" s="2" t="n">
        <v>0.8</v>
      </c>
      <c r="O27" s="2" t="n">
        <v>64</v>
      </c>
      <c r="P27" s="2" t="n">
        <v>4</v>
      </c>
      <c r="Q27" s="2" t="n">
        <v>0</v>
      </c>
      <c r="R27" s="2" t="n">
        <v>0</v>
      </c>
      <c r="S27" s="2" t="n">
        <v>0</v>
      </c>
      <c r="T27" s="2" t="n">
        <v>0</v>
      </c>
      <c r="U27" s="2">
        <f>LN(G27)</f>
        <v/>
      </c>
      <c r="V27" s="2" t="inlineStr">
        <is>
          <t>Y</t>
        </is>
      </c>
      <c r="W27" s="2" t="inlineStr">
        <is>
          <t>Y</t>
        </is>
      </c>
      <c r="X27" s="2" t="inlineStr">
        <is>
          <t>N</t>
        </is>
      </c>
      <c r="Y27" s="2" t="inlineStr">
        <is>
          <t>Normal</t>
        </is>
      </c>
      <c r="Z27" s="2" t="inlineStr">
        <is>
          <t>86um 중심 조건 반복. 반복오차/기준 Q_dia 확보</t>
        </is>
      </c>
      <c r="AA27" s="2" t="inlineStr">
        <is>
          <t>F64 중심. 기존 F32 안정성 대비 여유 조건</t>
        </is>
      </c>
      <c r="AB27" s="4" t="n">
        <v>85.07899999999999</v>
      </c>
      <c r="AC27" s="2">
        <f>IF(AB27="","",AB27/G27)</f>
        <v/>
      </c>
      <c r="AD27" s="2">
        <f>IF(AC27="","",LN(AC27))</f>
        <v/>
      </c>
      <c r="AE27" s="4" t="inlineStr">
        <is>
          <t>Y</t>
        </is>
      </c>
      <c r="AF27" s="4" t="inlineStr">
        <is>
          <t>N</t>
        </is>
      </c>
      <c r="AG27" s="4" t="n">
        <v>49</v>
      </c>
      <c r="AH27" s="4" t="n"/>
      <c r="AI27" t="inlineStr">
        <is>
          <t>3726</t>
        </is>
      </c>
      <c r="AJ27" t="inlineStr">
        <is>
          <t>Y</t>
        </is>
      </c>
      <c r="AK27" t="n">
        <v>0</v>
      </c>
    </row>
    <row r="28">
      <c r="A28" s="2" t="n">
        <v>22</v>
      </c>
      <c r="B28" s="2" t="inlineStr">
        <is>
          <t>D86-03</t>
        </is>
      </c>
      <c r="C28" s="2" t="n">
        <v>1</v>
      </c>
      <c r="D28" s="2" t="inlineStr">
        <is>
          <t>Shared</t>
        </is>
      </c>
      <c r="E28" s="2" t="inlineStr">
        <is>
          <t>D86</t>
        </is>
      </c>
      <c r="F28" s="2" t="inlineStr">
        <is>
          <t>Y</t>
        </is>
      </c>
      <c r="G28" s="2" t="n">
        <v>86</v>
      </c>
      <c r="H28" s="2" t="inlineStr">
        <is>
          <t>86um_Current_Mid</t>
        </is>
      </c>
      <c r="I28" s="2" t="inlineStr">
        <is>
          <t>P0_Center</t>
        </is>
      </c>
      <c r="J28" s="2" t="inlineStr">
        <is>
          <t>Center repeat</t>
        </is>
      </c>
      <c r="K28" s="2" t="inlineStr">
        <is>
          <t>Center</t>
        </is>
      </c>
      <c r="L28" s="2" t="inlineStr">
        <is>
          <t>Rep3</t>
        </is>
      </c>
      <c r="M28" s="2" t="n">
        <v>60.5</v>
      </c>
      <c r="N28" s="2" t="n">
        <v>0.8</v>
      </c>
      <c r="O28" s="2" t="n">
        <v>64</v>
      </c>
      <c r="P28" s="2" t="n">
        <v>4</v>
      </c>
      <c r="Q28" s="2" t="n">
        <v>0</v>
      </c>
      <c r="R28" s="2" t="n">
        <v>0</v>
      </c>
      <c r="S28" s="2" t="n">
        <v>0</v>
      </c>
      <c r="T28" s="2" t="n">
        <v>0</v>
      </c>
      <c r="U28" s="2">
        <f>LN(G28)</f>
        <v/>
      </c>
      <c r="V28" s="2" t="inlineStr">
        <is>
          <t>Y</t>
        </is>
      </c>
      <c r="W28" s="2" t="inlineStr">
        <is>
          <t>Y</t>
        </is>
      </c>
      <c r="X28" s="2" t="inlineStr">
        <is>
          <t>N</t>
        </is>
      </c>
      <c r="Y28" s="2" t="inlineStr">
        <is>
          <t>Normal</t>
        </is>
      </c>
      <c r="Z28" s="2" t="inlineStr">
        <is>
          <t>86um 중심 조건 반복. 반복오차/기준 Q_dia 확보</t>
        </is>
      </c>
      <c r="AA28" s="2" t="inlineStr">
        <is>
          <t>F64 중심. 기존 F32 안정성 대비 여유 조건</t>
        </is>
      </c>
      <c r="AB28" s="4" t="n">
        <v>85.55500000000001</v>
      </c>
      <c r="AC28" s="2">
        <f>IF(AB28="","",AB28/G28)</f>
        <v/>
      </c>
      <c r="AD28" s="2">
        <f>IF(AC28="","",LN(AC28))</f>
        <v/>
      </c>
      <c r="AE28" s="4" t="inlineStr">
        <is>
          <t>Y</t>
        </is>
      </c>
      <c r="AF28" s="4" t="inlineStr">
        <is>
          <t>N</t>
        </is>
      </c>
      <c r="AG28" s="4" t="n">
        <v>59</v>
      </c>
      <c r="AH28" s="4" t="n"/>
      <c r="AI28" t="inlineStr">
        <is>
          <t>3727</t>
        </is>
      </c>
      <c r="AJ28" t="inlineStr">
        <is>
          <t>Y</t>
        </is>
      </c>
      <c r="AK28" t="n">
        <v>0</v>
      </c>
    </row>
    <row r="29">
      <c r="A29" s="2" t="n">
        <v>23</v>
      </c>
      <c r="B29" s="2" t="inlineStr">
        <is>
          <t>D86-04</t>
        </is>
      </c>
      <c r="C29" s="2" t="n">
        <v>1</v>
      </c>
      <c r="D29" s="2" t="inlineStr">
        <is>
          <t>Shared</t>
        </is>
      </c>
      <c r="E29" s="2" t="inlineStr">
        <is>
          <t>D86</t>
        </is>
      </c>
      <c r="F29" s="2" t="inlineStr">
        <is>
          <t>Y</t>
        </is>
      </c>
      <c r="G29" s="2" t="n">
        <v>86</v>
      </c>
      <c r="H29" s="2" t="inlineStr">
        <is>
          <t>86um_Current_Mid</t>
        </is>
      </c>
      <c r="I29" s="2" t="inlineStr">
        <is>
          <t>P1_kV</t>
        </is>
      </c>
      <c r="J29" s="2" t="inlineStr">
        <is>
          <t>kV low axial</t>
        </is>
      </c>
      <c r="K29" s="2" t="inlineStr">
        <is>
          <t>Axial_kV_L</t>
        </is>
      </c>
      <c r="L29" s="2" t="inlineStr">
        <is>
          <t>Single</t>
        </is>
      </c>
      <c r="M29" s="2" t="n">
        <v>58.5</v>
      </c>
      <c r="N29" s="2" t="n">
        <v>0.8</v>
      </c>
      <c r="O29" s="2" t="n">
        <v>64</v>
      </c>
      <c r="P29" s="2" t="n">
        <v>4</v>
      </c>
      <c r="Q29" s="2" t="n">
        <v>-1</v>
      </c>
      <c r="R29" s="2" t="n">
        <v>0</v>
      </c>
      <c r="S29" s="2" t="n">
        <v>0</v>
      </c>
      <c r="T29" s="2" t="n">
        <v>0</v>
      </c>
      <c r="U29" s="2">
        <f>LN(G29)</f>
        <v/>
      </c>
      <c r="V29" s="2" t="inlineStr">
        <is>
          <t>Y</t>
        </is>
      </c>
      <c r="W29" s="2" t="inlineStr">
        <is>
          <t>Y</t>
        </is>
      </c>
      <c r="X29" s="2" t="inlineStr">
        <is>
          <t>N</t>
        </is>
      </c>
      <c r="Y29" s="2" t="inlineStr">
        <is>
          <t>Normal</t>
        </is>
      </c>
      <c r="Z29" s="2" t="inlineStr">
        <is>
          <t>86um kV low 확인</t>
        </is>
      </c>
      <c r="AA29" s="2" t="n"/>
      <c r="AB29" s="4" t="n">
        <v>82.59699999999999</v>
      </c>
      <c r="AC29" s="2">
        <f>IF(AB29="","",AB29/G29)</f>
        <v/>
      </c>
      <c r="AD29" s="2">
        <f>IF(AC29="","",LN(AC29))</f>
        <v/>
      </c>
      <c r="AE29" s="4" t="inlineStr">
        <is>
          <t>Y</t>
        </is>
      </c>
      <c r="AF29" s="4" t="inlineStr">
        <is>
          <t>N</t>
        </is>
      </c>
      <c r="AG29" s="4" t="n">
        <v>43</v>
      </c>
      <c r="AH29" s="4" t="n"/>
      <c r="AI29" t="inlineStr">
        <is>
          <t>3734</t>
        </is>
      </c>
      <c r="AJ29" t="inlineStr">
        <is>
          <t>N</t>
        </is>
      </c>
      <c r="AK29" t="n">
        <v>0</v>
      </c>
    </row>
    <row r="30">
      <c r="A30" s="2" t="n">
        <v>24</v>
      </c>
      <c r="B30" s="2" t="inlineStr">
        <is>
          <t>D86-05</t>
        </is>
      </c>
      <c r="C30" s="2" t="n">
        <v>1</v>
      </c>
      <c r="D30" s="2" t="inlineStr">
        <is>
          <t>Shared</t>
        </is>
      </c>
      <c r="E30" s="2" t="inlineStr">
        <is>
          <t>D86</t>
        </is>
      </c>
      <c r="F30" s="2" t="inlineStr">
        <is>
          <t>Y</t>
        </is>
      </c>
      <c r="G30" s="2" t="n">
        <v>86</v>
      </c>
      <c r="H30" s="2" t="inlineStr">
        <is>
          <t>86um_Current_Mid</t>
        </is>
      </c>
      <c r="I30" s="2" t="inlineStr">
        <is>
          <t>P1_kV</t>
        </is>
      </c>
      <c r="J30" s="2" t="inlineStr">
        <is>
          <t>kV high axial</t>
        </is>
      </c>
      <c r="K30" s="2" t="inlineStr">
        <is>
          <t>Axial_kV_H</t>
        </is>
      </c>
      <c r="L30" s="2" t="inlineStr">
        <is>
          <t>Single</t>
        </is>
      </c>
      <c r="M30" s="2" t="n">
        <v>62.5</v>
      </c>
      <c r="N30" s="2" t="n">
        <v>0.8</v>
      </c>
      <c r="O30" s="2" t="n">
        <v>64</v>
      </c>
      <c r="P30" s="2" t="n">
        <v>4</v>
      </c>
      <c r="Q30" s="2" t="n">
        <v>1</v>
      </c>
      <c r="R30" s="2" t="n">
        <v>0</v>
      </c>
      <c r="S30" s="2" t="n">
        <v>0</v>
      </c>
      <c r="T30" s="2" t="n">
        <v>0</v>
      </c>
      <c r="U30" s="2">
        <f>LN(G30)</f>
        <v/>
      </c>
      <c r="V30" s="2" t="inlineStr">
        <is>
          <t>Y</t>
        </is>
      </c>
      <c r="W30" s="2" t="inlineStr">
        <is>
          <t>Y</t>
        </is>
      </c>
      <c r="X30" s="2" t="inlineStr">
        <is>
          <t>N</t>
        </is>
      </c>
      <c r="Y30" s="2" t="inlineStr">
        <is>
          <t>Normal</t>
        </is>
      </c>
      <c r="Z30" s="2" t="inlineStr">
        <is>
          <t>86um kV high 확인</t>
        </is>
      </c>
      <c r="AA30" s="2" t="n"/>
      <c r="AB30" s="4" t="n">
        <v>76.794</v>
      </c>
      <c r="AC30" s="2">
        <f>IF(AB30="","",AB30/G30)</f>
        <v/>
      </c>
      <c r="AD30" s="2">
        <f>IF(AC30="","",LN(AC30))</f>
        <v/>
      </c>
      <c r="AE30" s="4" t="inlineStr">
        <is>
          <t>Y</t>
        </is>
      </c>
      <c r="AF30" s="4" t="inlineStr">
        <is>
          <t>N</t>
        </is>
      </c>
      <c r="AG30" s="4" t="n">
        <v>69</v>
      </c>
      <c r="AH30" s="4" t="n"/>
      <c r="AI30" t="inlineStr">
        <is>
          <t>3735</t>
        </is>
      </c>
      <c r="AJ30" t="inlineStr">
        <is>
          <t>N</t>
        </is>
      </c>
      <c r="AK30" t="n">
        <v>0</v>
      </c>
    </row>
    <row r="31">
      <c r="A31" s="2" t="n">
        <v>27</v>
      </c>
      <c r="B31" s="2" t="inlineStr">
        <is>
          <t>D86-08</t>
        </is>
      </c>
      <c r="C31" s="2" t="n">
        <v>1</v>
      </c>
      <c r="D31" s="2" t="inlineStr">
        <is>
          <t>Shared</t>
        </is>
      </c>
      <c r="E31" s="2" t="inlineStr">
        <is>
          <t>D86</t>
        </is>
      </c>
      <c r="F31" s="2" t="inlineStr">
        <is>
          <t>Y</t>
        </is>
      </c>
      <c r="G31" s="2" t="n">
        <v>86</v>
      </c>
      <c r="H31" s="2" t="inlineStr">
        <is>
          <t>86um_Current_Mid</t>
        </is>
      </c>
      <c r="I31" s="2" t="inlineStr">
        <is>
          <t>P2_RF</t>
        </is>
      </c>
      <c r="J31" s="2" t="inlineStr">
        <is>
          <t>F low axial</t>
        </is>
      </c>
      <c r="K31" s="2" t="inlineStr">
        <is>
          <t>Axial_F_L</t>
        </is>
      </c>
      <c r="L31" s="2" t="inlineStr">
        <is>
          <t>Single</t>
        </is>
      </c>
      <c r="M31" s="2" t="n">
        <v>60.5</v>
      </c>
      <c r="N31" s="2" t="n">
        <v>0.8</v>
      </c>
      <c r="O31" s="2" t="n">
        <v>32</v>
      </c>
      <c r="P31" s="2" t="n">
        <v>4</v>
      </c>
      <c r="Q31" s="2" t="n">
        <v>0</v>
      </c>
      <c r="R31" s="2" t="n">
        <v>0</v>
      </c>
      <c r="S31" s="2" t="n">
        <v>-1</v>
      </c>
      <c r="T31" s="2" t="n">
        <v>0</v>
      </c>
      <c r="U31" s="2">
        <f>LN(G31)</f>
        <v/>
      </c>
      <c r="V31" s="2" t="inlineStr">
        <is>
          <t>Y</t>
        </is>
      </c>
      <c r="W31" s="2" t="inlineStr">
        <is>
          <t>Y</t>
        </is>
      </c>
      <c r="X31" s="2" t="inlineStr">
        <is>
          <t>N</t>
        </is>
      </c>
      <c r="Y31" s="2" t="inlineStr">
        <is>
          <t>Normal</t>
        </is>
      </c>
      <c r="Z31" s="2" t="inlineStr">
        <is>
          <t>F32 하한 조건. 시간 단축 가능성/정확도 확인</t>
        </is>
      </c>
      <c r="AA31" s="2" t="inlineStr">
        <is>
          <t>F32가 최소값</t>
        </is>
      </c>
      <c r="AB31" s="4" t="n">
        <v>85.06100000000001</v>
      </c>
      <c r="AC31" s="2">
        <f>IF(AB31="","",AB31/G31)</f>
        <v/>
      </c>
      <c r="AD31" s="2">
        <f>IF(AC31="","",LN(AC31))</f>
        <v/>
      </c>
      <c r="AE31" s="4" t="inlineStr">
        <is>
          <t>Y</t>
        </is>
      </c>
      <c r="AF31" s="4" t="inlineStr">
        <is>
          <t>N</t>
        </is>
      </c>
      <c r="AG31" s="4" t="n">
        <v>18</v>
      </c>
      <c r="AH31" s="4" t="n"/>
      <c r="AI31" t="inlineStr">
        <is>
          <t>3738</t>
        </is>
      </c>
      <c r="AJ31" t="inlineStr">
        <is>
          <t>N</t>
        </is>
      </c>
      <c r="AK31" t="n">
        <v>0</v>
      </c>
    </row>
    <row r="32">
      <c r="A32" s="2" t="n">
        <v>28</v>
      </c>
      <c r="B32" s="2" t="inlineStr">
        <is>
          <t>D86-09</t>
        </is>
      </c>
      <c r="C32" s="2" t="n">
        <v>1</v>
      </c>
      <c r="D32" s="2" t="inlineStr">
        <is>
          <t>Shared</t>
        </is>
      </c>
      <c r="E32" s="2" t="inlineStr">
        <is>
          <t>D86</t>
        </is>
      </c>
      <c r="F32" s="2" t="inlineStr">
        <is>
          <t>Y</t>
        </is>
      </c>
      <c r="G32" s="2" t="n">
        <v>86</v>
      </c>
      <c r="H32" s="2" t="inlineStr">
        <is>
          <t>86um_Current_Mid</t>
        </is>
      </c>
      <c r="I32" s="2" t="inlineStr">
        <is>
          <t>P2_RF</t>
        </is>
      </c>
      <c r="J32" s="2" t="inlineStr">
        <is>
          <t>F high axial</t>
        </is>
      </c>
      <c r="K32" s="2" t="inlineStr">
        <is>
          <t>Axial_F_H</t>
        </is>
      </c>
      <c r="L32" s="2" t="inlineStr">
        <is>
          <t>Single</t>
        </is>
      </c>
      <c r="M32" s="2" t="n">
        <v>60.5</v>
      </c>
      <c r="N32" s="2" t="n">
        <v>0.8</v>
      </c>
      <c r="O32" s="2" t="n">
        <v>128</v>
      </c>
      <c r="P32" s="2" t="n">
        <v>4</v>
      </c>
      <c r="Q32" s="2" t="n">
        <v>0</v>
      </c>
      <c r="R32" s="2" t="n">
        <v>0</v>
      </c>
      <c r="S32" s="2" t="n">
        <v>1</v>
      </c>
      <c r="T32" s="2" t="n">
        <v>0</v>
      </c>
      <c r="U32" s="2">
        <f>LN(G32)</f>
        <v/>
      </c>
      <c r="V32" s="2" t="inlineStr">
        <is>
          <t>Y</t>
        </is>
      </c>
      <c r="W32" s="2" t="inlineStr">
        <is>
          <t>Y</t>
        </is>
      </c>
      <c r="X32" s="2" t="inlineStr">
        <is>
          <t>N</t>
        </is>
      </c>
      <c r="Y32" s="2" t="inlineStr">
        <is>
          <t>Normal</t>
        </is>
      </c>
      <c r="Z32" s="2" t="inlineStr">
        <is>
          <t>F128 high 조건. noise/직경 bias 영향 확인</t>
        </is>
      </c>
      <c r="AA32" s="2" t="n"/>
      <c r="AB32" s="4" t="n">
        <v>85.26600000000001</v>
      </c>
      <c r="AC32" s="2">
        <f>IF(AB32="","",AB32/G32)</f>
        <v/>
      </c>
      <c r="AD32" s="2">
        <f>IF(AC32="","",LN(AC32))</f>
        <v/>
      </c>
      <c r="AE32" s="4" t="inlineStr">
        <is>
          <t>Y</t>
        </is>
      </c>
      <c r="AF32" s="4" t="inlineStr">
        <is>
          <t>N</t>
        </is>
      </c>
      <c r="AG32" s="4" t="n">
        <v>33</v>
      </c>
      <c r="AH32" s="4" t="n"/>
      <c r="AI32" t="inlineStr">
        <is>
          <t>3739</t>
        </is>
      </c>
      <c r="AJ32" t="inlineStr">
        <is>
          <t>N</t>
        </is>
      </c>
      <c r="AK32" t="n">
        <v>0</v>
      </c>
    </row>
    <row r="33">
      <c r="A33" s="2" t="n">
        <v>29</v>
      </c>
      <c r="B33" s="5" t="inlineStr">
        <is>
          <t>D86-10</t>
        </is>
      </c>
      <c r="C33" s="2" t="n">
        <v>1</v>
      </c>
      <c r="D33" s="2" t="inlineStr">
        <is>
          <t>Shared</t>
        </is>
      </c>
      <c r="E33" s="2" t="inlineStr">
        <is>
          <t>D86</t>
        </is>
      </c>
      <c r="F33" s="2" t="inlineStr">
        <is>
          <t>Y</t>
        </is>
      </c>
      <c r="G33" s="2" t="n">
        <v>86</v>
      </c>
      <c r="H33" s="2" t="inlineStr">
        <is>
          <t>86um_Current_Mid</t>
        </is>
      </c>
      <c r="I33" s="2" t="inlineStr">
        <is>
          <t>P3_W</t>
        </is>
      </c>
      <c r="J33" s="2" t="inlineStr">
        <is>
          <t>W high axial</t>
        </is>
      </c>
      <c r="K33" s="2" t="inlineStr">
        <is>
          <t>Axial_W_H</t>
        </is>
      </c>
      <c r="L33" s="2" t="inlineStr">
        <is>
          <t>Single</t>
        </is>
      </c>
      <c r="M33" s="2" t="n">
        <v>60.5</v>
      </c>
      <c r="N33" s="2" t="n">
        <v>0.8</v>
      </c>
      <c r="O33" s="2" t="n">
        <v>64</v>
      </c>
      <c r="P33" s="2" t="n">
        <v>6</v>
      </c>
      <c r="Q33" s="2" t="n">
        <v>0</v>
      </c>
      <c r="R33" s="2" t="n">
        <v>0</v>
      </c>
      <c r="S33" s="2" t="n">
        <v>0</v>
      </c>
      <c r="T33" s="2" t="n">
        <v>1</v>
      </c>
      <c r="U33" s="2">
        <f>LN(G33)</f>
        <v/>
      </c>
      <c r="V33" s="2" t="inlineStr">
        <is>
          <t>Y</t>
        </is>
      </c>
      <c r="W33" s="2" t="inlineStr">
        <is>
          <t>Y</t>
        </is>
      </c>
      <c r="X33" s="2" t="inlineStr">
        <is>
          <t>N</t>
        </is>
      </c>
      <c r="Y33" s="2" t="inlineStr">
        <is>
          <t>Normal</t>
        </is>
      </c>
      <c r="Z33" s="2" t="inlineStr">
        <is>
          <t>W 상승 효과 확인</t>
        </is>
      </c>
      <c r="AA33" s="2" t="n"/>
      <c r="AB33" s="4" t="n">
        <v>85.008</v>
      </c>
      <c r="AC33" s="2">
        <f>IF(AB33="","",AB33/G33)</f>
        <v/>
      </c>
      <c r="AD33" s="2">
        <f>IF(AC33="","",LN(AC33))</f>
        <v/>
      </c>
      <c r="AE33" s="4" t="inlineStr">
        <is>
          <t>Y</t>
        </is>
      </c>
      <c r="AF33" s="4" t="inlineStr">
        <is>
          <t>N</t>
        </is>
      </c>
      <c r="AG33" s="4" t="n">
        <v>44</v>
      </c>
      <c r="AH33" s="4" t="n"/>
      <c r="AI33" t="inlineStr">
        <is>
          <t>3740</t>
        </is>
      </c>
      <c r="AJ33" t="inlineStr">
        <is>
          <t>N</t>
        </is>
      </c>
      <c r="AK33" t="n">
        <v>0</v>
      </c>
    </row>
    <row r="34">
      <c r="A34" s="2" t="n">
        <v>26</v>
      </c>
      <c r="B34" s="5" t="inlineStr">
        <is>
          <t>D86-07</t>
        </is>
      </c>
      <c r="C34" s="2" t="n">
        <v>1</v>
      </c>
      <c r="D34" s="2" t="inlineStr">
        <is>
          <t>Shared</t>
        </is>
      </c>
      <c r="E34" s="2" t="inlineStr">
        <is>
          <t>D86</t>
        </is>
      </c>
      <c r="F34" s="2" t="inlineStr">
        <is>
          <t>Y</t>
        </is>
      </c>
      <c r="G34" s="2" t="n">
        <v>86</v>
      </c>
      <c r="H34" s="2" t="inlineStr">
        <is>
          <t>86um_Current_Mid</t>
        </is>
      </c>
      <c r="I34" s="2" t="inlineStr">
        <is>
          <t>P2_RF</t>
        </is>
      </c>
      <c r="J34" s="2" t="inlineStr">
        <is>
          <t>R high axial</t>
        </is>
      </c>
      <c r="K34" s="2" t="inlineStr">
        <is>
          <t>Axial_R_H</t>
        </is>
      </c>
      <c r="L34" s="2" t="inlineStr">
        <is>
          <t>Single</t>
        </is>
      </c>
      <c r="M34" s="2" t="n">
        <v>60.5</v>
      </c>
      <c r="N34" s="2" t="n">
        <v>1.5</v>
      </c>
      <c r="O34" s="2" t="n">
        <v>64</v>
      </c>
      <c r="P34" s="2" t="n">
        <v>4</v>
      </c>
      <c r="Q34" s="2" t="n">
        <v>0</v>
      </c>
      <c r="R34" s="2" t="n">
        <v>1</v>
      </c>
      <c r="S34" s="2" t="n">
        <v>0</v>
      </c>
      <c r="T34" s="2" t="n">
        <v>0</v>
      </c>
      <c r="U34" s="2">
        <f>LN(G34)</f>
        <v/>
      </c>
      <c r="V34" s="2" t="inlineStr">
        <is>
          <t>Y</t>
        </is>
      </c>
      <c r="W34" s="2" t="inlineStr">
        <is>
          <t>Y</t>
        </is>
      </c>
      <c r="X34" s="2" t="inlineStr">
        <is>
          <t>N</t>
        </is>
      </c>
      <c r="Y34" s="2" t="inlineStr">
        <is>
          <t>Normal</t>
        </is>
      </c>
      <c r="Z34" s="2" t="inlineStr">
        <is>
          <t>coarse R 영향 확인</t>
        </is>
      </c>
      <c r="AA34" s="2" t="n"/>
      <c r="AB34" s="4" t="n">
        <v>84.25700000000001</v>
      </c>
      <c r="AC34" s="2">
        <f>IF(AB34="","",AB34/G34)</f>
        <v/>
      </c>
      <c r="AD34" s="2">
        <f>IF(AC34="","",LN(AC34))</f>
        <v/>
      </c>
      <c r="AE34" s="4" t="inlineStr">
        <is>
          <t>Y</t>
        </is>
      </c>
      <c r="AF34" s="4" t="inlineStr">
        <is>
          <t>N</t>
        </is>
      </c>
      <c r="AG34" s="4" t="n">
        <v>183</v>
      </c>
      <c r="AH34" s="4" t="n"/>
      <c r="AI34" t="inlineStr">
        <is>
          <t>3737</t>
        </is>
      </c>
      <c r="AJ34" t="inlineStr">
        <is>
          <t>N</t>
        </is>
      </c>
      <c r="AK34" t="n">
        <v>0</v>
      </c>
    </row>
    <row r="35">
      <c r="A35" s="2" t="n">
        <v>30</v>
      </c>
      <c r="B35" s="5" t="inlineStr">
        <is>
          <t>D86-11</t>
        </is>
      </c>
      <c r="C35" s="2" t="n">
        <v>1</v>
      </c>
      <c r="D35" s="2" t="inlineStr">
        <is>
          <t>Shared</t>
        </is>
      </c>
      <c r="E35" s="2" t="inlineStr">
        <is>
          <t>D86</t>
        </is>
      </c>
      <c r="F35" s="2" t="inlineStr">
        <is>
          <t>Y</t>
        </is>
      </c>
      <c r="G35" s="2" t="n">
        <v>86</v>
      </c>
      <c r="H35" s="2" t="inlineStr">
        <is>
          <t>86um_Current_Mid</t>
        </is>
      </c>
      <c r="I35" s="2" t="inlineStr">
        <is>
          <t>P3_W</t>
        </is>
      </c>
      <c r="J35" s="2" t="inlineStr">
        <is>
          <t>R high W high guard</t>
        </is>
      </c>
      <c r="K35" s="2" t="inlineStr">
        <is>
          <t>R_W_guard</t>
        </is>
      </c>
      <c r="L35" s="2" t="inlineStr">
        <is>
          <t>Single</t>
        </is>
      </c>
      <c r="M35" s="2" t="n">
        <v>60.5</v>
      </c>
      <c r="N35" s="2" t="n">
        <v>1.5</v>
      </c>
      <c r="O35" s="2" t="n">
        <v>64</v>
      </c>
      <c r="P35" s="2" t="n">
        <v>6</v>
      </c>
      <c r="Q35" s="2" t="n">
        <v>0</v>
      </c>
      <c r="R35" s="2" t="n">
        <v>1</v>
      </c>
      <c r="S35" s="2" t="n">
        <v>0</v>
      </c>
      <c r="T35" s="2" t="n">
        <v>1</v>
      </c>
      <c r="U35" s="2">
        <f>LN(G35)</f>
        <v/>
      </c>
      <c r="V35" s="2" t="inlineStr">
        <is>
          <t>Y</t>
        </is>
      </c>
      <c r="W35" s="2" t="inlineStr">
        <is>
          <t>Y</t>
        </is>
      </c>
      <c r="X35" s="2" t="inlineStr">
        <is>
          <t>N</t>
        </is>
      </c>
      <c r="Y35" s="2" t="inlineStr">
        <is>
          <t>Normal</t>
        </is>
      </c>
      <c r="Z35" s="2" t="inlineStr">
        <is>
          <t>coarse R를 W 상승으로 보완 가능한지 확인</t>
        </is>
      </c>
      <c r="AA35" s="2" t="n"/>
      <c r="AB35" s="4" t="n">
        <v>83.745</v>
      </c>
      <c r="AC35" s="2">
        <f>IF(AB35="","",AB35/G35)</f>
        <v/>
      </c>
      <c r="AD35" s="2">
        <f>IF(AC35="","",LN(AC35))</f>
        <v/>
      </c>
      <c r="AE35" s="4" t="inlineStr">
        <is>
          <t>Y</t>
        </is>
      </c>
      <c r="AF35" s="4" t="inlineStr">
        <is>
          <t>N</t>
        </is>
      </c>
      <c r="AG35" s="4" t="n">
        <v>52</v>
      </c>
      <c r="AH35" s="4" t="n"/>
      <c r="AI35" t="inlineStr">
        <is>
          <t>3741</t>
        </is>
      </c>
      <c r="AJ35" t="inlineStr">
        <is>
          <t>N</t>
        </is>
      </c>
      <c r="AK35" t="n">
        <v>0</v>
      </c>
    </row>
    <row r="36">
      <c r="A36" s="2" t="n">
        <v>33</v>
      </c>
      <c r="B36" s="5" t="inlineStr">
        <is>
          <t>D86-14</t>
        </is>
      </c>
      <c r="C36" s="2" t="n">
        <v>1</v>
      </c>
      <c r="D36" s="2" t="inlineStr">
        <is>
          <t>Shared</t>
        </is>
      </c>
      <c r="E36" s="2" t="inlineStr">
        <is>
          <t>D86</t>
        </is>
      </c>
      <c r="F36" s="2" t="inlineStr">
        <is>
          <t>Y</t>
        </is>
      </c>
      <c r="G36" s="2" t="n">
        <v>86</v>
      </c>
      <c r="H36" s="2" t="inlineStr">
        <is>
          <t>86um_Current_Mid</t>
        </is>
      </c>
      <c r="I36" s="2" t="inlineStr">
        <is>
          <t>P2P3_2FI</t>
        </is>
      </c>
      <c r="J36" s="2" t="inlineStr">
        <is>
          <t>Half-fraction interaction</t>
        </is>
      </c>
      <c r="K36" s="2" t="inlineStr">
        <is>
          <t>Interaction</t>
        </is>
      </c>
      <c r="L36" s="2" t="inlineStr">
        <is>
          <t>Single</t>
        </is>
      </c>
      <c r="M36" s="2" t="n">
        <v>58.5</v>
      </c>
      <c r="N36" s="2" t="n">
        <v>1.5</v>
      </c>
      <c r="O36" s="2" t="n">
        <v>32</v>
      </c>
      <c r="P36" s="2" t="n">
        <v>6</v>
      </c>
      <c r="Q36" s="2" t="n">
        <v>-1</v>
      </c>
      <c r="R36" s="2" t="n">
        <v>1</v>
      </c>
      <c r="S36" s="2" t="n">
        <v>-1</v>
      </c>
      <c r="T36" s="2" t="n">
        <v>1</v>
      </c>
      <c r="U36" s="2">
        <f>LN(G36)</f>
        <v/>
      </c>
      <c r="V36" s="2" t="inlineStr">
        <is>
          <t>Y</t>
        </is>
      </c>
      <c r="W36" s="2" t="inlineStr">
        <is>
          <t>Y</t>
        </is>
      </c>
      <c r="X36" s="2" t="inlineStr">
        <is>
          <t>N</t>
        </is>
      </c>
      <c r="Y36" s="2" t="inlineStr">
        <is>
          <t>Normal</t>
        </is>
      </c>
      <c r="Z36" s="2" t="inlineStr">
        <is>
          <t>D86 kV/R/F/W 교호작용 점. 2^(4-1) 구조. F 하한은 32</t>
        </is>
      </c>
      <c r="AA36" s="2" t="n"/>
      <c r="AB36" s="4" t="n">
        <v>79.80500000000001</v>
      </c>
      <c r="AC36" s="2">
        <f>IF(AB36="","",AB36/G36)</f>
        <v/>
      </c>
      <c r="AD36" s="2">
        <f>IF(AC36="","",LN(AC36))</f>
        <v/>
      </c>
      <c r="AE36" s="4" t="inlineStr">
        <is>
          <t>Y</t>
        </is>
      </c>
      <c r="AF36" s="4" t="inlineStr">
        <is>
          <t>N</t>
        </is>
      </c>
      <c r="AG36" s="4" t="n">
        <v>91</v>
      </c>
      <c r="AH36" s="4" t="n"/>
      <c r="AI36" t="inlineStr">
        <is>
          <t>3744</t>
        </is>
      </c>
      <c r="AJ36" t="inlineStr">
        <is>
          <t>N</t>
        </is>
      </c>
      <c r="AK36" t="n">
        <v>0</v>
      </c>
    </row>
    <row r="37">
      <c r="A37" s="2" t="n">
        <v>34</v>
      </c>
      <c r="B37" s="5" t="inlineStr">
        <is>
          <t>D86-15</t>
        </is>
      </c>
      <c r="C37" s="2" t="n">
        <v>1</v>
      </c>
      <c r="D37" s="2" t="inlineStr">
        <is>
          <t>Shared</t>
        </is>
      </c>
      <c r="E37" s="2" t="inlineStr">
        <is>
          <t>D86</t>
        </is>
      </c>
      <c r="F37" s="2" t="inlineStr">
        <is>
          <t>Y</t>
        </is>
      </c>
      <c r="G37" s="2" t="n">
        <v>86</v>
      </c>
      <c r="H37" s="2" t="inlineStr">
        <is>
          <t>86um_Current_Mid</t>
        </is>
      </c>
      <c r="I37" s="2" t="inlineStr">
        <is>
          <t>P2P3_2FI</t>
        </is>
      </c>
      <c r="J37" s="2" t="inlineStr">
        <is>
          <t>Half-fraction interaction</t>
        </is>
      </c>
      <c r="K37" s="2" t="inlineStr">
        <is>
          <t>Interaction</t>
        </is>
      </c>
      <c r="L37" s="2" t="inlineStr">
        <is>
          <t>Single</t>
        </is>
      </c>
      <c r="M37" s="2" t="n">
        <v>58.5</v>
      </c>
      <c r="N37" s="2" t="n">
        <v>1.5</v>
      </c>
      <c r="O37" s="2" t="n">
        <v>128</v>
      </c>
      <c r="P37" s="2" t="n">
        <v>4</v>
      </c>
      <c r="Q37" s="2" t="n">
        <v>-1</v>
      </c>
      <c r="R37" s="2" t="n">
        <v>1</v>
      </c>
      <c r="S37" s="2" t="n">
        <v>1</v>
      </c>
      <c r="T37" s="2" t="n">
        <v>-1</v>
      </c>
      <c r="U37" s="2">
        <f>LN(G37)</f>
        <v/>
      </c>
      <c r="V37" s="2" t="inlineStr">
        <is>
          <t>Y</t>
        </is>
      </c>
      <c r="W37" s="2" t="inlineStr">
        <is>
          <t>Y</t>
        </is>
      </c>
      <c r="X37" s="2" t="inlineStr">
        <is>
          <t>N</t>
        </is>
      </c>
      <c r="Y37" s="2" t="inlineStr">
        <is>
          <t>Normal</t>
        </is>
      </c>
      <c r="Z37" s="2" t="inlineStr">
        <is>
          <t>D86 kV/R/F/W 교호작용 점. 2^(4-1) 구조. F 하한은 32</t>
        </is>
      </c>
      <c r="AA37" s="2" t="n"/>
      <c r="AB37" s="4" t="n">
        <v>80.35599999999999</v>
      </c>
      <c r="AC37" s="2">
        <f>IF(AB37="","",AB37/G37)</f>
        <v/>
      </c>
      <c r="AD37" s="2">
        <f>IF(AC37="","",LN(AC37))</f>
        <v/>
      </c>
      <c r="AE37" s="4" t="inlineStr">
        <is>
          <t>Y</t>
        </is>
      </c>
      <c r="AF37" s="4" t="inlineStr">
        <is>
          <t>N</t>
        </is>
      </c>
      <c r="AG37" s="4" t="n">
        <v>34</v>
      </c>
      <c r="AH37" s="4" t="n"/>
      <c r="AI37" t="inlineStr">
        <is>
          <t>3745</t>
        </is>
      </c>
      <c r="AJ37" t="inlineStr">
        <is>
          <t>N</t>
        </is>
      </c>
      <c r="AK37" t="n">
        <v>0</v>
      </c>
    </row>
    <row r="38">
      <c r="A38" s="2" t="n">
        <v>37</v>
      </c>
      <c r="B38" s="5" t="inlineStr">
        <is>
          <t>D86-18</t>
        </is>
      </c>
      <c r="C38" s="2" t="n">
        <v>1</v>
      </c>
      <c r="D38" s="2" t="inlineStr">
        <is>
          <t>Shared</t>
        </is>
      </c>
      <c r="E38" s="2" t="inlineStr">
        <is>
          <t>D86</t>
        </is>
      </c>
      <c r="F38" s="2" t="inlineStr">
        <is>
          <t>Y</t>
        </is>
      </c>
      <c r="G38" s="2" t="n">
        <v>86</v>
      </c>
      <c r="H38" s="2" t="inlineStr">
        <is>
          <t>86um_Current_Mid</t>
        </is>
      </c>
      <c r="I38" s="2" t="inlineStr">
        <is>
          <t>P2P3_2FI</t>
        </is>
      </c>
      <c r="J38" s="2" t="inlineStr">
        <is>
          <t>Half-fraction interaction</t>
        </is>
      </c>
      <c r="K38" s="2" t="inlineStr">
        <is>
          <t>Interaction</t>
        </is>
      </c>
      <c r="L38" s="2" t="inlineStr">
        <is>
          <t>Single</t>
        </is>
      </c>
      <c r="M38" s="2" t="n">
        <v>62.5</v>
      </c>
      <c r="N38" s="2" t="n">
        <v>1.5</v>
      </c>
      <c r="O38" s="2" t="n">
        <v>32</v>
      </c>
      <c r="P38" s="2" t="n">
        <v>4</v>
      </c>
      <c r="Q38" s="2" t="n">
        <v>1</v>
      </c>
      <c r="R38" s="2" t="n">
        <v>1</v>
      </c>
      <c r="S38" s="2" t="n">
        <v>-1</v>
      </c>
      <c r="T38" s="2" t="n">
        <v>-1</v>
      </c>
      <c r="U38" s="2">
        <f>LN(G38)</f>
        <v/>
      </c>
      <c r="V38" s="2" t="inlineStr">
        <is>
          <t>Y</t>
        </is>
      </c>
      <c r="W38" s="2" t="inlineStr">
        <is>
          <t>Y</t>
        </is>
      </c>
      <c r="X38" s="2" t="inlineStr">
        <is>
          <t>N</t>
        </is>
      </c>
      <c r="Y38" s="2" t="inlineStr">
        <is>
          <t>Normal</t>
        </is>
      </c>
      <c r="Z38" s="2" t="inlineStr">
        <is>
          <t>D86 kV/R/F/W 교호작용 점. 2^(4-1) 구조. F 하한은 32</t>
        </is>
      </c>
      <c r="AA38" s="2" t="n"/>
      <c r="AB38" s="4" t="n">
        <v>70.934</v>
      </c>
      <c r="AC38" s="2">
        <f>IF(AB38="","",AB38/G38)</f>
        <v/>
      </c>
      <c r="AD38" s="2">
        <f>IF(AC38="","",LN(AC38))</f>
        <v/>
      </c>
      <c r="AE38" s="4" t="inlineStr">
        <is>
          <t>Y</t>
        </is>
      </c>
      <c r="AF38" s="4" t="inlineStr">
        <is>
          <t>N</t>
        </is>
      </c>
      <c r="AG38" s="4" t="n">
        <v>19</v>
      </c>
      <c r="AH38" s="4" t="n"/>
      <c r="AI38" t="inlineStr">
        <is>
          <t>3748</t>
        </is>
      </c>
      <c r="AJ38" t="inlineStr">
        <is>
          <t>N</t>
        </is>
      </c>
      <c r="AK38" t="n">
        <v>0</v>
      </c>
    </row>
    <row r="39">
      <c r="A39" s="2" t="n">
        <v>38</v>
      </c>
      <c r="B39" s="5" t="inlineStr">
        <is>
          <t>D86-19</t>
        </is>
      </c>
      <c r="C39" s="2" t="n">
        <v>1</v>
      </c>
      <c r="D39" s="2" t="inlineStr">
        <is>
          <t>Shared</t>
        </is>
      </c>
      <c r="E39" s="2" t="inlineStr">
        <is>
          <t>D86</t>
        </is>
      </c>
      <c r="F39" s="2" t="inlineStr">
        <is>
          <t>Y</t>
        </is>
      </c>
      <c r="G39" s="2" t="n">
        <v>86</v>
      </c>
      <c r="H39" s="2" t="inlineStr">
        <is>
          <t>86um_Current_Mid</t>
        </is>
      </c>
      <c r="I39" s="2" t="inlineStr">
        <is>
          <t>P2P3_2FI</t>
        </is>
      </c>
      <c r="J39" s="2" t="inlineStr">
        <is>
          <t>Half-fraction interaction</t>
        </is>
      </c>
      <c r="K39" s="2" t="inlineStr">
        <is>
          <t>Interaction</t>
        </is>
      </c>
      <c r="L39" s="2" t="inlineStr">
        <is>
          <t>Single</t>
        </is>
      </c>
      <c r="M39" s="2" t="n">
        <v>62.5</v>
      </c>
      <c r="N39" s="2" t="n">
        <v>1.5</v>
      </c>
      <c r="O39" s="2" t="n">
        <v>128</v>
      </c>
      <c r="P39" s="2" t="n">
        <v>6</v>
      </c>
      <c r="Q39" s="2" t="n">
        <v>1</v>
      </c>
      <c r="R39" s="2" t="n">
        <v>1</v>
      </c>
      <c r="S39" s="2" t="n">
        <v>1</v>
      </c>
      <c r="T39" s="2" t="n">
        <v>1</v>
      </c>
      <c r="U39" s="2">
        <f>LN(G39)</f>
        <v/>
      </c>
      <c r="V39" s="2" t="inlineStr">
        <is>
          <t>Y</t>
        </is>
      </c>
      <c r="W39" s="2" t="inlineStr">
        <is>
          <t>Y</t>
        </is>
      </c>
      <c r="X39" s="2" t="inlineStr">
        <is>
          <t>N</t>
        </is>
      </c>
      <c r="Y39" s="2" t="inlineStr">
        <is>
          <t>Normal</t>
        </is>
      </c>
      <c r="Z39" s="2" t="inlineStr">
        <is>
          <t>D86 kV/R/F/W 교호작용 점. 2^(4-1) 구조. F 하한은 32</t>
        </is>
      </c>
      <c r="AA39" s="2" t="n"/>
      <c r="AB39" s="4" t="n">
        <v>71.499</v>
      </c>
      <c r="AC39" s="2">
        <f>IF(AB39="","",AB39/G39)</f>
        <v/>
      </c>
      <c r="AD39" s="2">
        <f>IF(AC39="","",LN(AC39))</f>
        <v/>
      </c>
      <c r="AE39" s="4" t="inlineStr">
        <is>
          <t>Y</t>
        </is>
      </c>
      <c r="AF39" s="4" t="inlineStr">
        <is>
          <t>N</t>
        </is>
      </c>
      <c r="AG39" s="4" t="n">
        <v>32</v>
      </c>
      <c r="AH39" s="4" t="n"/>
      <c r="AI39" t="inlineStr">
        <is>
          <t>3749</t>
        </is>
      </c>
      <c r="AJ39" t="inlineStr">
        <is>
          <t>N</t>
        </is>
      </c>
      <c r="AK39" t="n">
        <v>0</v>
      </c>
    </row>
  </sheetData>
  <autoFilter ref="A1:AH39">
    <filterColumn colId="0" hiddenButton="0" showButton="1">
      <customFilters>
        <customFilter val="20" operator="greaterThanOrEqual"/>
      </customFilters>
    </filterColumn>
    <sortState ref="A21:AH39">
      <sortCondition ref="N1:N39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0" customWidth="1" min="1" max="1"/>
    <col width="14" customWidth="1" min="2" max="2"/>
    <col width="10" customWidth="1" min="3" max="3"/>
    <col width="11" customWidth="1" min="4" max="4"/>
    <col width="12" customWidth="1" min="5" max="5"/>
    <col width="18" customWidth="1" min="6" max="6"/>
    <col width="15" customWidth="1" min="7" max="7"/>
    <col width="28" customWidth="1" min="8" max="8"/>
    <col width="15" customWidth="1" min="9" max="9"/>
    <col width="24" customWidth="1" min="10" max="10"/>
    <col width="20" customWidth="1" min="11" max="11"/>
    <col width="12" customWidth="1" min="12" max="12"/>
    <col width="9" customWidth="1" min="13" max="13"/>
    <col width="12" customWidth="1" min="14" max="14"/>
    <col width="8" customWidth="1" min="15" max="16"/>
    <col width="10" customWidth="1" min="17" max="20"/>
    <col width="12" customWidth="1" min="21" max="21"/>
    <col width="16" customWidth="1" min="22" max="23"/>
    <col width="18" customWidth="1" min="24" max="24"/>
    <col width="10" customWidth="1" min="25" max="25"/>
    <col width="60" customWidth="1" min="26" max="26"/>
    <col width="44" customWidth="1" min="27" max="27"/>
    <col width="18" customWidth="1" min="28" max="28"/>
    <col width="14" customWidth="1" min="29" max="30"/>
    <col width="10" customWidth="1" min="31" max="31"/>
    <col width="20" customWidth="1" min="32" max="32"/>
    <col width="10" customWidth="1" min="33" max="33"/>
    <col width="30" customWidth="1" min="34" max="34"/>
  </cols>
  <sheetData>
    <row r="1" ht="29" customHeight="1">
      <c r="A1" s="3" t="inlineStr">
        <is>
          <t>Run_Order</t>
        </is>
      </c>
      <c r="B1" s="3" t="inlineStr">
        <is>
          <t>Global_Run_ID</t>
        </is>
      </c>
      <c r="C1" s="3" t="inlineStr">
        <is>
          <t>Run_Count</t>
        </is>
      </c>
      <c r="D1" s="3" t="inlineStr">
        <is>
          <t>Set</t>
        </is>
      </c>
      <c r="E1" s="3" t="inlineStr">
        <is>
          <t>Anchor_ID</t>
        </is>
      </c>
      <c r="F1" s="3" t="inlineStr">
        <is>
          <t>Anchor_Available_Now</t>
        </is>
      </c>
      <c r="G1" s="3" t="inlineStr">
        <is>
          <t>PD_Diameter_um</t>
        </is>
      </c>
      <c r="H1" s="3" t="inlineStr">
        <is>
          <t>Material_Label</t>
        </is>
      </c>
      <c r="I1" s="3" t="inlineStr">
        <is>
          <t>Phase</t>
        </is>
      </c>
      <c r="J1" s="3" t="inlineStr">
        <is>
          <t>Model_Role</t>
        </is>
      </c>
      <c r="K1" s="3" t="inlineStr">
        <is>
          <t>Run_Type</t>
        </is>
      </c>
      <c r="L1" s="3" t="inlineStr">
        <is>
          <t>Repeat_Tag</t>
        </is>
      </c>
      <c r="M1" s="3" t="inlineStr">
        <is>
          <t>kV</t>
        </is>
      </c>
      <c r="N1" s="3" t="inlineStr">
        <is>
          <t>R_um_per_px</t>
        </is>
      </c>
      <c r="O1" s="3" t="inlineStr">
        <is>
          <t>F</t>
        </is>
      </c>
      <c r="P1" s="3" t="inlineStr">
        <is>
          <t>W</t>
        </is>
      </c>
      <c r="Q1" s="3" t="inlineStr">
        <is>
          <t>kV_code</t>
        </is>
      </c>
      <c r="R1" s="3" t="inlineStr">
        <is>
          <t>R_code</t>
        </is>
      </c>
      <c r="S1" s="3" t="inlineStr">
        <is>
          <t>F_code</t>
        </is>
      </c>
      <c r="T1" s="3" t="inlineStr">
        <is>
          <t>W_code</t>
        </is>
      </c>
      <c r="U1" s="3" t="inlineStr">
        <is>
          <t>D_code_log</t>
        </is>
      </c>
      <c r="V1" s="3" t="inlineStr">
        <is>
          <t>Use_in_2Anchor_Now</t>
        </is>
      </c>
      <c r="W1" s="3" t="inlineStr">
        <is>
          <t>Use_in_3Anchor_Full</t>
        </is>
      </c>
      <c r="X1" s="3" t="inlineStr">
        <is>
          <t>Later_Addition_Only</t>
        </is>
      </c>
      <c r="Y1" s="3" t="inlineStr">
        <is>
          <t>Priority</t>
        </is>
      </c>
      <c r="Z1" s="3" t="inlineStr">
        <is>
          <t>Purpose</t>
        </is>
      </c>
      <c r="AA1" s="3" t="inlineStr">
        <is>
          <t>Risk_Note</t>
        </is>
      </c>
      <c r="AB1" s="3" t="inlineStr">
        <is>
          <t>Measured_Diameter_um</t>
        </is>
      </c>
      <c r="AC1" s="3" t="inlineStr">
        <is>
          <t>Q_dia_formula</t>
        </is>
      </c>
      <c r="AD1" s="3" t="inlineStr">
        <is>
          <t>ln_Q_formula</t>
        </is>
      </c>
      <c r="AE1" s="3" t="inlineStr">
        <is>
          <t>Match_YN</t>
        </is>
      </c>
      <c r="AF1" s="3" t="inlineStr">
        <is>
          <t>FailedToMatchCAD_YN</t>
        </is>
      </c>
      <c r="AG1" s="3" t="inlineStr">
        <is>
          <t>Tact_sec</t>
        </is>
      </c>
      <c r="AH1" s="3" t="inlineStr">
        <is>
          <t>Operator_Memo</t>
        </is>
      </c>
    </row>
    <row r="2">
      <c r="A2" s="2" t="n">
        <v>1</v>
      </c>
      <c r="B2" s="2" t="inlineStr">
        <is>
          <t>D26-01</t>
        </is>
      </c>
      <c r="C2" s="2" t="n">
        <v>1</v>
      </c>
      <c r="D2" s="2" t="inlineStr">
        <is>
          <t>Shared</t>
        </is>
      </c>
      <c r="E2" s="2" t="inlineStr">
        <is>
          <t>D26</t>
        </is>
      </c>
      <c r="F2" s="2" t="inlineStr">
        <is>
          <t>Y</t>
        </is>
      </c>
      <c r="G2" s="2" t="n">
        <v>26</v>
      </c>
      <c r="H2" s="2" t="inlineStr">
        <is>
          <t>26um_Current_Min</t>
        </is>
      </c>
      <c r="I2" s="2" t="inlineStr">
        <is>
          <t>P0_Center</t>
        </is>
      </c>
      <c r="J2" s="2" t="inlineStr">
        <is>
          <t>Center repeat</t>
        </is>
      </c>
      <c r="K2" s="2" t="inlineStr">
        <is>
          <t>Center</t>
        </is>
      </c>
      <c r="L2" s="2" t="inlineStr">
        <is>
          <t>Rep1</t>
        </is>
      </c>
      <c r="M2" s="2" t="n">
        <v>60</v>
      </c>
      <c r="N2" s="2" t="n">
        <v>0.5</v>
      </c>
      <c r="O2" s="2" t="n">
        <v>64</v>
      </c>
      <c r="P2" s="2" t="n">
        <v>4</v>
      </c>
      <c r="Q2" s="2" t="n">
        <v>0</v>
      </c>
      <c r="R2" s="2" t="n">
        <v>0</v>
      </c>
      <c r="S2" s="2" t="n">
        <v>0</v>
      </c>
      <c r="T2" s="2" t="n">
        <v>0</v>
      </c>
      <c r="U2" s="2">
        <f>LN(G2)</f>
        <v/>
      </c>
      <c r="V2" s="2" t="inlineStr">
        <is>
          <t>Y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Normal</t>
        </is>
      </c>
      <c r="Z2" s="2" t="inlineStr">
        <is>
          <t>26um 중심 조건 반복. 반복오차/기준 Q_dia 확보</t>
        </is>
      </c>
      <c r="AA2" s="2" t="inlineStr">
        <is>
          <t>55kV 제외. F64 중심.</t>
        </is>
      </c>
      <c r="AB2" s="4" t="n"/>
      <c r="AC2" s="2">
        <f>IF(AB2="","",AB2/G2)</f>
        <v/>
      </c>
      <c r="AD2" s="2">
        <f>IF(AC2="","",LN(AC2))</f>
        <v/>
      </c>
      <c r="AE2" s="4" t="n"/>
      <c r="AF2" s="4" t="n"/>
      <c r="AG2" s="4" t="n"/>
      <c r="AH2" s="4" t="n"/>
    </row>
    <row r="3">
      <c r="A3" s="2" t="n">
        <v>2</v>
      </c>
      <c r="B3" s="2" t="inlineStr">
        <is>
          <t>D26-02</t>
        </is>
      </c>
      <c r="C3" s="2" t="n">
        <v>1</v>
      </c>
      <c r="D3" s="2" t="inlineStr">
        <is>
          <t>Shared</t>
        </is>
      </c>
      <c r="E3" s="2" t="inlineStr">
        <is>
          <t>D26</t>
        </is>
      </c>
      <c r="F3" s="2" t="inlineStr">
        <is>
          <t>Y</t>
        </is>
      </c>
      <c r="G3" s="2" t="n">
        <v>26</v>
      </c>
      <c r="H3" s="2" t="inlineStr">
        <is>
          <t>26um_Current_Min</t>
        </is>
      </c>
      <c r="I3" s="2" t="inlineStr">
        <is>
          <t>P0_Center</t>
        </is>
      </c>
      <c r="J3" s="2" t="inlineStr">
        <is>
          <t>Center repeat</t>
        </is>
      </c>
      <c r="K3" s="2" t="inlineStr">
        <is>
          <t>Center</t>
        </is>
      </c>
      <c r="L3" s="2" t="inlineStr">
        <is>
          <t>Rep2</t>
        </is>
      </c>
      <c r="M3" s="2" t="n">
        <v>60</v>
      </c>
      <c r="N3" s="2" t="n">
        <v>0.5</v>
      </c>
      <c r="O3" s="2" t="n">
        <v>64</v>
      </c>
      <c r="P3" s="2" t="n">
        <v>4</v>
      </c>
      <c r="Q3" s="2" t="n">
        <v>0</v>
      </c>
      <c r="R3" s="2" t="n">
        <v>0</v>
      </c>
      <c r="S3" s="2" t="n">
        <v>0</v>
      </c>
      <c r="T3" s="2" t="n">
        <v>0</v>
      </c>
      <c r="U3" s="2">
        <f>LN(G3)</f>
        <v/>
      </c>
      <c r="V3" s="2" t="inlineStr">
        <is>
          <t>Y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Normal</t>
        </is>
      </c>
      <c r="Z3" s="2" t="inlineStr">
        <is>
          <t>26um 중심 조건 반복. 반복오차/기준 Q_dia 확보</t>
        </is>
      </c>
      <c r="AA3" s="2" t="inlineStr">
        <is>
          <t>55kV 제외. F64 중심.</t>
        </is>
      </c>
      <c r="AB3" s="4" t="n"/>
      <c r="AC3" s="2">
        <f>IF(AB3="","",AB3/G3)</f>
        <v/>
      </c>
      <c r="AD3" s="2">
        <f>IF(AC3="","",LN(AC3))</f>
        <v/>
      </c>
      <c r="AE3" s="4" t="n"/>
      <c r="AF3" s="4" t="n"/>
      <c r="AG3" s="4" t="n"/>
      <c r="AH3" s="4" t="n"/>
    </row>
    <row r="4">
      <c r="A4" s="2" t="n">
        <v>3</v>
      </c>
      <c r="B4" s="2" t="inlineStr">
        <is>
          <t>D26-03</t>
        </is>
      </c>
      <c r="C4" s="2" t="n">
        <v>1</v>
      </c>
      <c r="D4" s="2" t="inlineStr">
        <is>
          <t>Shared</t>
        </is>
      </c>
      <c r="E4" s="2" t="inlineStr">
        <is>
          <t>D26</t>
        </is>
      </c>
      <c r="F4" s="2" t="inlineStr">
        <is>
          <t>Y</t>
        </is>
      </c>
      <c r="G4" s="2" t="n">
        <v>26</v>
      </c>
      <c r="H4" s="2" t="inlineStr">
        <is>
          <t>26um_Current_Min</t>
        </is>
      </c>
      <c r="I4" s="2" t="inlineStr">
        <is>
          <t>P0_Center</t>
        </is>
      </c>
      <c r="J4" s="2" t="inlineStr">
        <is>
          <t>Center repeat</t>
        </is>
      </c>
      <c r="K4" s="2" t="inlineStr">
        <is>
          <t>Center</t>
        </is>
      </c>
      <c r="L4" s="2" t="inlineStr">
        <is>
          <t>Rep3</t>
        </is>
      </c>
      <c r="M4" s="2" t="n">
        <v>60</v>
      </c>
      <c r="N4" s="2" t="n">
        <v>0.5</v>
      </c>
      <c r="O4" s="2" t="n">
        <v>64</v>
      </c>
      <c r="P4" s="2" t="n">
        <v>4</v>
      </c>
      <c r="Q4" s="2" t="n">
        <v>0</v>
      </c>
      <c r="R4" s="2" t="n">
        <v>0</v>
      </c>
      <c r="S4" s="2" t="n">
        <v>0</v>
      </c>
      <c r="T4" s="2" t="n">
        <v>0</v>
      </c>
      <c r="U4" s="2">
        <f>LN(G4)</f>
        <v/>
      </c>
      <c r="V4" s="2" t="inlineStr">
        <is>
          <t>Y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Normal</t>
        </is>
      </c>
      <c r="Z4" s="2" t="inlineStr">
        <is>
          <t>26um 중심 조건 반복. 반복오차/기준 Q_dia 확보</t>
        </is>
      </c>
      <c r="AA4" s="2" t="inlineStr">
        <is>
          <t>55kV 제외. F64 중심.</t>
        </is>
      </c>
      <c r="AB4" s="4" t="n"/>
      <c r="AC4" s="2">
        <f>IF(AB4="","",AB4/G4)</f>
        <v/>
      </c>
      <c r="AD4" s="2">
        <f>IF(AC4="","",LN(AC4))</f>
        <v/>
      </c>
      <c r="AE4" s="4" t="n"/>
      <c r="AF4" s="4" t="n"/>
      <c r="AG4" s="4" t="n"/>
      <c r="AH4" s="4" t="n"/>
    </row>
    <row r="5">
      <c r="A5" s="2" t="n">
        <v>4</v>
      </c>
      <c r="B5" s="2" t="inlineStr">
        <is>
          <t>D26-04</t>
        </is>
      </c>
      <c r="C5" s="2" t="n">
        <v>1</v>
      </c>
      <c r="D5" s="2" t="inlineStr">
        <is>
          <t>Shared</t>
        </is>
      </c>
      <c r="E5" s="2" t="inlineStr">
        <is>
          <t>D26</t>
        </is>
      </c>
      <c r="F5" s="2" t="inlineStr">
        <is>
          <t>Y</t>
        </is>
      </c>
      <c r="G5" s="2" t="n">
        <v>26</v>
      </c>
      <c r="H5" s="2" t="inlineStr">
        <is>
          <t>26um_Current_Min</t>
        </is>
      </c>
      <c r="I5" s="2" t="inlineStr">
        <is>
          <t>P1_kV</t>
        </is>
      </c>
      <c r="J5" s="2" t="inlineStr">
        <is>
          <t>kV low axial</t>
        </is>
      </c>
      <c r="K5" s="2" t="inlineStr">
        <is>
          <t>Axial_kV_L</t>
        </is>
      </c>
      <c r="L5" s="2" t="inlineStr">
        <is>
          <t>Single</t>
        </is>
      </c>
      <c r="M5" s="2" t="n">
        <v>58</v>
      </c>
      <c r="N5" s="2" t="n">
        <v>0.5</v>
      </c>
      <c r="O5" s="2" t="n">
        <v>64</v>
      </c>
      <c r="P5" s="2" t="n">
        <v>4</v>
      </c>
      <c r="Q5" s="2" t="n">
        <v>-1</v>
      </c>
      <c r="R5" s="2" t="n">
        <v>0</v>
      </c>
      <c r="S5" s="2" t="n">
        <v>0</v>
      </c>
      <c r="T5" s="2" t="n">
        <v>0</v>
      </c>
      <c r="U5" s="2">
        <f>LN(G5)</f>
        <v/>
      </c>
      <c r="V5" s="2" t="inlineStr">
        <is>
          <t>Y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High</t>
        </is>
      </c>
      <c r="Z5" s="2" t="inlineStr">
        <is>
          <t>26um kV low 안전경계 확인</t>
        </is>
      </c>
      <c r="AA5" s="2" t="inlineStr">
        <is>
          <t>55kV 금지. 58kV부터 확인.</t>
        </is>
      </c>
      <c r="AB5" s="4" t="n"/>
      <c r="AC5" s="2">
        <f>IF(AB5="","",AB5/G5)</f>
        <v/>
      </c>
      <c r="AD5" s="2">
        <f>IF(AC5="","",LN(AC5))</f>
        <v/>
      </c>
      <c r="AE5" s="4" t="n"/>
      <c r="AF5" s="4" t="n"/>
      <c r="AG5" s="4" t="n"/>
      <c r="AH5" s="4" t="n"/>
    </row>
    <row r="6">
      <c r="A6" s="2" t="n">
        <v>5</v>
      </c>
      <c r="B6" s="2" t="inlineStr">
        <is>
          <t>D26-05</t>
        </is>
      </c>
      <c r="C6" s="2" t="n">
        <v>1</v>
      </c>
      <c r="D6" s="2" t="inlineStr">
        <is>
          <t>Shared</t>
        </is>
      </c>
      <c r="E6" s="2" t="inlineStr">
        <is>
          <t>D26</t>
        </is>
      </c>
      <c r="F6" s="2" t="inlineStr">
        <is>
          <t>Y</t>
        </is>
      </c>
      <c r="G6" s="2" t="n">
        <v>26</v>
      </c>
      <c r="H6" s="2" t="inlineStr">
        <is>
          <t>26um_Current_Min</t>
        </is>
      </c>
      <c r="I6" s="2" t="inlineStr">
        <is>
          <t>P1_kV</t>
        </is>
      </c>
      <c r="J6" s="2" t="inlineStr">
        <is>
          <t>kV high axial</t>
        </is>
      </c>
      <c r="K6" s="2" t="inlineStr">
        <is>
          <t>Axial_kV_H</t>
        </is>
      </c>
      <c r="L6" s="2" t="inlineStr">
        <is>
          <t>Single</t>
        </is>
      </c>
      <c r="M6" s="2" t="n">
        <v>62</v>
      </c>
      <c r="N6" s="2" t="n">
        <v>0.5</v>
      </c>
      <c r="O6" s="2" t="n">
        <v>64</v>
      </c>
      <c r="P6" s="2" t="n">
        <v>4</v>
      </c>
      <c r="Q6" s="2" t="n">
        <v>1</v>
      </c>
      <c r="R6" s="2" t="n">
        <v>0</v>
      </c>
      <c r="S6" s="2" t="n">
        <v>0</v>
      </c>
      <c r="T6" s="2" t="n">
        <v>0</v>
      </c>
      <c r="U6" s="2">
        <f>LN(G6)</f>
        <v/>
      </c>
      <c r="V6" s="2" t="inlineStr">
        <is>
          <t>Y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High</t>
        </is>
      </c>
      <c r="Z6" s="2" t="inlineStr">
        <is>
          <t>26um kV high 확인</t>
        </is>
      </c>
      <c r="AA6" s="2" t="n"/>
      <c r="AB6" s="4" t="n"/>
      <c r="AC6" s="2">
        <f>IF(AB6="","",AB6/G6)</f>
        <v/>
      </c>
      <c r="AD6" s="2">
        <f>IF(AC6="","",LN(AC6))</f>
        <v/>
      </c>
      <c r="AE6" s="4" t="n"/>
      <c r="AF6" s="4" t="n"/>
      <c r="AG6" s="4" t="n"/>
      <c r="AH6" s="4" t="n"/>
    </row>
    <row r="7">
      <c r="A7" s="2" t="n">
        <v>6</v>
      </c>
      <c r="B7" s="2" t="inlineStr">
        <is>
          <t>D26-06</t>
        </is>
      </c>
      <c r="C7" s="2" t="n">
        <v>1</v>
      </c>
      <c r="D7" s="2" t="inlineStr">
        <is>
          <t>Shared</t>
        </is>
      </c>
      <c r="E7" s="2" t="inlineStr">
        <is>
          <t>D26</t>
        </is>
      </c>
      <c r="F7" s="2" t="inlineStr">
        <is>
          <t>Y</t>
        </is>
      </c>
      <c r="G7" s="2" t="n">
        <v>26</v>
      </c>
      <c r="H7" s="2" t="inlineStr">
        <is>
          <t>26um_Current_Min</t>
        </is>
      </c>
      <c r="I7" s="2" t="inlineStr">
        <is>
          <t>P2_RF</t>
        </is>
      </c>
      <c r="J7" s="2" t="inlineStr">
        <is>
          <t>R low with high F</t>
        </is>
      </c>
      <c r="K7" s="2" t="inlineStr">
        <is>
          <t>Axial_R_L_safe</t>
        </is>
      </c>
      <c r="L7" s="2" t="inlineStr">
        <is>
          <t>Single</t>
        </is>
      </c>
      <c r="M7" s="2" t="n">
        <v>60</v>
      </c>
      <c r="N7" s="2" t="n">
        <v>0.35</v>
      </c>
      <c r="O7" s="2" t="n">
        <v>128</v>
      </c>
      <c r="P7" s="2" t="n">
        <v>4</v>
      </c>
      <c r="Q7" s="2" t="n">
        <v>0</v>
      </c>
      <c r="R7" s="2" t="n">
        <v>-1</v>
      </c>
      <c r="S7" s="2" t="n">
        <v>1</v>
      </c>
      <c r="T7" s="2" t="n">
        <v>0</v>
      </c>
      <c r="U7" s="2">
        <f>LN(G7)</f>
        <v/>
      </c>
      <c r="V7" s="2" t="inlineStr">
        <is>
          <t>Y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High</t>
        </is>
      </c>
      <c r="Z7" s="2" t="inlineStr">
        <is>
          <t>R 미세화 가능성 확인. R0.35는 F128과 짝</t>
        </is>
      </c>
      <c r="AA7" s="2" t="inlineStr">
        <is>
          <t>R low 단독 금지. 광자부족 회피.</t>
        </is>
      </c>
      <c r="AB7" s="4" t="n"/>
      <c r="AC7" s="2">
        <f>IF(AB7="","",AB7/G7)</f>
        <v/>
      </c>
      <c r="AD7" s="2">
        <f>IF(AC7="","",LN(AC7))</f>
        <v/>
      </c>
      <c r="AE7" s="4" t="n"/>
      <c r="AF7" s="4" t="n"/>
      <c r="AG7" s="4" t="n"/>
      <c r="AH7" s="4" t="n"/>
    </row>
    <row r="8">
      <c r="A8" s="2" t="n">
        <v>7</v>
      </c>
      <c r="B8" s="2" t="inlineStr">
        <is>
          <t>D26-07</t>
        </is>
      </c>
      <c r="C8" s="2" t="n">
        <v>1</v>
      </c>
      <c r="D8" s="2" t="inlineStr">
        <is>
          <t>Shared</t>
        </is>
      </c>
      <c r="E8" s="2" t="inlineStr">
        <is>
          <t>D26</t>
        </is>
      </c>
      <c r="F8" s="2" t="inlineStr">
        <is>
          <t>Y</t>
        </is>
      </c>
      <c r="G8" s="2" t="n">
        <v>26</v>
      </c>
      <c r="H8" s="2" t="inlineStr">
        <is>
          <t>26um_Current_Min</t>
        </is>
      </c>
      <c r="I8" s="2" t="inlineStr">
        <is>
          <t>P2_RF</t>
        </is>
      </c>
      <c r="J8" s="2" t="inlineStr">
        <is>
          <t>R high axial</t>
        </is>
      </c>
      <c r="K8" s="2" t="inlineStr">
        <is>
          <t>Axial_R_H</t>
        </is>
      </c>
      <c r="L8" s="2" t="inlineStr">
        <is>
          <t>Single</t>
        </is>
      </c>
      <c r="M8" s="2" t="n">
        <v>60</v>
      </c>
      <c r="N8" s="2" t="n">
        <v>0.65</v>
      </c>
      <c r="O8" s="2" t="n">
        <v>64</v>
      </c>
      <c r="P8" s="2" t="n">
        <v>4</v>
      </c>
      <c r="Q8" s="2" t="n">
        <v>0</v>
      </c>
      <c r="R8" s="2" t="n">
        <v>1</v>
      </c>
      <c r="S8" s="2" t="n">
        <v>0</v>
      </c>
      <c r="T8" s="2" t="n">
        <v>0</v>
      </c>
      <c r="U8" s="2">
        <f>LN(G8)</f>
        <v/>
      </c>
      <c r="V8" s="2" t="inlineStr">
        <is>
          <t>Y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Normal</t>
        </is>
      </c>
      <c r="Z8" s="2" t="inlineStr">
        <is>
          <t>coarse R가 직경 측정에 미치는 영향</t>
        </is>
      </c>
      <c r="AA8" s="2" t="n"/>
      <c r="AB8" s="4" t="n"/>
      <c r="AC8" s="2">
        <f>IF(AB8="","",AB8/G8)</f>
        <v/>
      </c>
      <c r="AD8" s="2">
        <f>IF(AC8="","",LN(AC8))</f>
        <v/>
      </c>
      <c r="AE8" s="4" t="n"/>
      <c r="AF8" s="4" t="n"/>
      <c r="AG8" s="4" t="n"/>
      <c r="AH8" s="4" t="n"/>
    </row>
    <row r="9">
      <c r="A9" s="2" t="n">
        <v>8</v>
      </c>
      <c r="B9" s="2" t="inlineStr">
        <is>
          <t>D26-08</t>
        </is>
      </c>
      <c r="C9" s="2" t="n">
        <v>1</v>
      </c>
      <c r="D9" s="2" t="inlineStr">
        <is>
          <t>Shared</t>
        </is>
      </c>
      <c r="E9" s="2" t="inlineStr">
        <is>
          <t>D26</t>
        </is>
      </c>
      <c r="F9" s="2" t="inlineStr">
        <is>
          <t>Y</t>
        </is>
      </c>
      <c r="G9" s="2" t="n">
        <v>26</v>
      </c>
      <c r="H9" s="2" t="inlineStr">
        <is>
          <t>26um_Current_Min</t>
        </is>
      </c>
      <c r="I9" s="2" t="inlineStr">
        <is>
          <t>P2_RF</t>
        </is>
      </c>
      <c r="J9" s="2" t="inlineStr">
        <is>
          <t>F low boundary</t>
        </is>
      </c>
      <c r="K9" s="2" t="inlineStr">
        <is>
          <t>Axial_F_L</t>
        </is>
      </c>
      <c r="L9" s="2" t="inlineStr">
        <is>
          <t>Single</t>
        </is>
      </c>
      <c r="M9" s="2" t="n">
        <v>60</v>
      </c>
      <c r="N9" s="2" t="n">
        <v>0.5</v>
      </c>
      <c r="O9" s="2" t="n">
        <v>32</v>
      </c>
      <c r="P9" s="2" t="n">
        <v>4</v>
      </c>
      <c r="Q9" s="2" t="n">
        <v>0</v>
      </c>
      <c r="R9" s="2" t="n">
        <v>0</v>
      </c>
      <c r="S9" s="2" t="n">
        <v>-1</v>
      </c>
      <c r="T9" s="2" t="n">
        <v>0</v>
      </c>
      <c r="U9" s="2">
        <f>LN(G9)</f>
        <v/>
      </c>
      <c r="V9" s="2" t="inlineStr">
        <is>
          <t>Y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High</t>
        </is>
      </c>
      <c r="Z9" s="2" t="inlineStr">
        <is>
          <t>F32 경계 조건. 장비 F 최소값 조건에서 측정 가능성 확인</t>
        </is>
      </c>
      <c r="AA9" s="2" t="inlineStr">
        <is>
          <t>26um F32는 장비 하한이자 경계조건.</t>
        </is>
      </c>
      <c r="AB9" s="4" t="n"/>
      <c r="AC9" s="2">
        <f>IF(AB9="","",AB9/G9)</f>
        <v/>
      </c>
      <c r="AD9" s="2">
        <f>IF(AC9="","",LN(AC9))</f>
        <v/>
      </c>
      <c r="AE9" s="4" t="n"/>
      <c r="AF9" s="4" t="n"/>
      <c r="AG9" s="4" t="n"/>
      <c r="AH9" s="4" t="n"/>
    </row>
    <row r="10">
      <c r="A10" s="2" t="n">
        <v>9</v>
      </c>
      <c r="B10" s="2" t="inlineStr">
        <is>
          <t>D26-09</t>
        </is>
      </c>
      <c r="C10" s="2" t="n">
        <v>1</v>
      </c>
      <c r="D10" s="2" t="inlineStr">
        <is>
          <t>Shared</t>
        </is>
      </c>
      <c r="E10" s="2" t="inlineStr">
        <is>
          <t>D26</t>
        </is>
      </c>
      <c r="F10" s="2" t="inlineStr">
        <is>
          <t>Y</t>
        </is>
      </c>
      <c r="G10" s="2" t="n">
        <v>26</v>
      </c>
      <c r="H10" s="2" t="inlineStr">
        <is>
          <t>26um_Current_Min</t>
        </is>
      </c>
      <c r="I10" s="2" t="inlineStr">
        <is>
          <t>P2_RF</t>
        </is>
      </c>
      <c r="J10" s="2" t="inlineStr">
        <is>
          <t>F high axial</t>
        </is>
      </c>
      <c r="K10" s="2" t="inlineStr">
        <is>
          <t>Axial_F_H</t>
        </is>
      </c>
      <c r="L10" s="2" t="inlineStr">
        <is>
          <t>Single</t>
        </is>
      </c>
      <c r="M10" s="2" t="n">
        <v>60</v>
      </c>
      <c r="N10" s="2" t="n">
        <v>0.5</v>
      </c>
      <c r="O10" s="2" t="n">
        <v>128</v>
      </c>
      <c r="P10" s="2" t="n">
        <v>4</v>
      </c>
      <c r="Q10" s="2" t="n">
        <v>0</v>
      </c>
      <c r="R10" s="2" t="n">
        <v>0</v>
      </c>
      <c r="S10" s="2" t="n">
        <v>1</v>
      </c>
      <c r="T10" s="2" t="n">
        <v>0</v>
      </c>
      <c r="U10" s="2">
        <f>LN(G10)</f>
        <v/>
      </c>
      <c r="V10" s="2" t="inlineStr">
        <is>
          <t>Y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Normal</t>
        </is>
      </c>
      <c r="Z10" s="2" t="inlineStr">
        <is>
          <t>F128로 측정직경 회복 여부 확인</t>
        </is>
      </c>
      <c r="AA10" s="2" t="n"/>
      <c r="AB10" s="4" t="n"/>
      <c r="AC10" s="2">
        <f>IF(AB10="","",AB10/G10)</f>
        <v/>
      </c>
      <c r="AD10" s="2">
        <f>IF(AC10="","",LN(AC10))</f>
        <v/>
      </c>
      <c r="AE10" s="4" t="n"/>
      <c r="AF10" s="4" t="n"/>
      <c r="AG10" s="4" t="n"/>
      <c r="AH10" s="4" t="n"/>
    </row>
    <row r="11">
      <c r="A11" s="2" t="n">
        <v>10</v>
      </c>
      <c r="B11" s="2" t="inlineStr">
        <is>
          <t>D26-10</t>
        </is>
      </c>
      <c r="C11" s="2" t="n">
        <v>1</v>
      </c>
      <c r="D11" s="2" t="inlineStr">
        <is>
          <t>Shared</t>
        </is>
      </c>
      <c r="E11" s="2" t="inlineStr">
        <is>
          <t>D26</t>
        </is>
      </c>
      <c r="F11" s="2" t="inlineStr">
        <is>
          <t>Y</t>
        </is>
      </c>
      <c r="G11" s="2" t="n">
        <v>26</v>
      </c>
      <c r="H11" s="2" t="inlineStr">
        <is>
          <t>26um_Current_Min</t>
        </is>
      </c>
      <c r="I11" s="2" t="inlineStr">
        <is>
          <t>P3_W</t>
        </is>
      </c>
      <c r="J11" s="2" t="inlineStr">
        <is>
          <t>W high axial</t>
        </is>
      </c>
      <c r="K11" s="2" t="inlineStr">
        <is>
          <t>Axial_W_H</t>
        </is>
      </c>
      <c r="L11" s="2" t="inlineStr">
        <is>
          <t>Single</t>
        </is>
      </c>
      <c r="M11" s="2" t="n">
        <v>60</v>
      </c>
      <c r="N11" s="2" t="n">
        <v>0.5</v>
      </c>
      <c r="O11" s="2" t="n">
        <v>64</v>
      </c>
      <c r="P11" s="2" t="n">
        <v>6</v>
      </c>
      <c r="Q11" s="2" t="n">
        <v>0</v>
      </c>
      <c r="R11" s="2" t="n">
        <v>0</v>
      </c>
      <c r="S11" s="2" t="n">
        <v>0</v>
      </c>
      <c r="T11" s="2" t="n">
        <v>1</v>
      </c>
      <c r="U11" s="2">
        <f>LN(G11)</f>
        <v/>
      </c>
      <c r="V11" s="2" t="inlineStr">
        <is>
          <t>Y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Normal</t>
        </is>
      </c>
      <c r="Z11" s="2" t="inlineStr">
        <is>
          <t>W 상승 효과 확인</t>
        </is>
      </c>
      <c r="AA11" s="2" t="inlineStr">
        <is>
          <t>W는 1차에서 주로 선형/교호작용으로 해석</t>
        </is>
      </c>
      <c r="AB11" s="4" t="n"/>
      <c r="AC11" s="2">
        <f>IF(AB11="","",AB11/G11)</f>
        <v/>
      </c>
      <c r="AD11" s="2">
        <f>IF(AC11="","",LN(AC11))</f>
        <v/>
      </c>
      <c r="AE11" s="4" t="n"/>
      <c r="AF11" s="4" t="n"/>
      <c r="AG11" s="4" t="n"/>
      <c r="AH11" s="4" t="n"/>
    </row>
    <row r="12">
      <c r="A12" s="2" t="n">
        <v>11</v>
      </c>
      <c r="B12" s="2" t="inlineStr">
        <is>
          <t>D26-11</t>
        </is>
      </c>
      <c r="C12" s="2" t="n">
        <v>1</v>
      </c>
      <c r="D12" s="2" t="inlineStr">
        <is>
          <t>Shared</t>
        </is>
      </c>
      <c r="E12" s="2" t="inlineStr">
        <is>
          <t>D26</t>
        </is>
      </c>
      <c r="F12" s="2" t="inlineStr">
        <is>
          <t>Y</t>
        </is>
      </c>
      <c r="G12" s="2" t="n">
        <v>26</v>
      </c>
      <c r="H12" s="2" t="inlineStr">
        <is>
          <t>26um_Current_Min</t>
        </is>
      </c>
      <c r="I12" s="2" t="inlineStr">
        <is>
          <t>P3_W</t>
        </is>
      </c>
      <c r="J12" s="2" t="inlineStr">
        <is>
          <t>W high plus F high</t>
        </is>
      </c>
      <c r="K12" s="2" t="inlineStr">
        <is>
          <t>W_F_guard</t>
        </is>
      </c>
      <c r="L12" s="2" t="inlineStr">
        <is>
          <t>Single</t>
        </is>
      </c>
      <c r="M12" s="2" t="n">
        <v>60</v>
      </c>
      <c r="N12" s="2" t="n">
        <v>0.5</v>
      </c>
      <c r="O12" s="2" t="n">
        <v>128</v>
      </c>
      <c r="P12" s="2" t="n">
        <v>6</v>
      </c>
      <c r="Q12" s="2" t="n">
        <v>0</v>
      </c>
      <c r="R12" s="2" t="n">
        <v>0</v>
      </c>
      <c r="S12" s="2" t="n">
        <v>1</v>
      </c>
      <c r="T12" s="2" t="n">
        <v>1</v>
      </c>
      <c r="U12" s="2">
        <f>LN(G12)</f>
        <v/>
      </c>
      <c r="V12" s="2" t="inlineStr">
        <is>
          <t>Y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Normal</t>
        </is>
      </c>
      <c r="Z12" s="2" t="inlineStr">
        <is>
          <t>W와 F가 26um에서 보완/대체되는지 확인</t>
        </is>
      </c>
      <c r="AA12" s="2" t="n"/>
      <c r="AB12" s="4" t="n"/>
      <c r="AC12" s="2">
        <f>IF(AB12="","",AB12/G12)</f>
        <v/>
      </c>
      <c r="AD12" s="2">
        <f>IF(AC12="","",LN(AC12))</f>
        <v/>
      </c>
      <c r="AE12" s="4" t="n"/>
      <c r="AF12" s="4" t="n"/>
      <c r="AG12" s="4" t="n"/>
      <c r="AH12" s="4" t="n"/>
    </row>
    <row r="13">
      <c r="A13" s="2" t="n">
        <v>12</v>
      </c>
      <c r="B13" s="2" t="inlineStr">
        <is>
          <t>D26-12</t>
        </is>
      </c>
      <c r="C13" s="2" t="n">
        <v>1</v>
      </c>
      <c r="D13" s="2" t="inlineStr">
        <is>
          <t>Shared</t>
        </is>
      </c>
      <c r="E13" s="2" t="inlineStr">
        <is>
          <t>D26</t>
        </is>
      </c>
      <c r="F13" s="2" t="inlineStr">
        <is>
          <t>Y</t>
        </is>
      </c>
      <c r="G13" s="2" t="n">
        <v>26</v>
      </c>
      <c r="H13" s="2" t="inlineStr">
        <is>
          <t>26um_Current_Min</t>
        </is>
      </c>
      <c r="I13" s="2" t="inlineStr">
        <is>
          <t>P2P3_2FI</t>
        </is>
      </c>
      <c r="J13" s="2" t="inlineStr">
        <is>
          <t>Constrained interaction</t>
        </is>
      </c>
      <c r="K13" s="2" t="inlineStr">
        <is>
          <t>Interaction</t>
        </is>
      </c>
      <c r="L13" s="2" t="inlineStr">
        <is>
          <t>Single</t>
        </is>
      </c>
      <c r="M13" s="2" t="n">
        <v>58</v>
      </c>
      <c r="N13" s="2" t="n">
        <v>0.5</v>
      </c>
      <c r="O13" s="2" t="n">
        <v>32</v>
      </c>
      <c r="P13" s="2" t="n">
        <v>4</v>
      </c>
      <c r="Q13" s="2" t="n">
        <v>-1</v>
      </c>
      <c r="R13" s="2" t="n">
        <v>0</v>
      </c>
      <c r="S13" s="2" t="n">
        <v>-1</v>
      </c>
      <c r="T13" s="2" t="n">
        <v>-1</v>
      </c>
      <c r="U13" s="2">
        <f>LN(G13)</f>
        <v/>
      </c>
      <c r="V13" s="2" t="inlineStr">
        <is>
          <t>Y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Normal</t>
        </is>
      </c>
      <c r="Z13" s="2" t="inlineStr">
        <is>
          <t>D26 제한조건부 교호작용 점. kV/R/F/W 상호 영향 확인</t>
        </is>
      </c>
      <c r="AA13" s="2" t="n"/>
      <c r="AB13" s="4" t="n"/>
      <c r="AC13" s="2">
        <f>IF(AB13="","",AB13/G13)</f>
        <v/>
      </c>
      <c r="AD13" s="2">
        <f>IF(AC13="","",LN(AC13))</f>
        <v/>
      </c>
      <c r="AE13" s="4" t="n"/>
      <c r="AF13" s="4" t="n"/>
      <c r="AG13" s="4" t="n"/>
      <c r="AH13" s="4" t="n"/>
    </row>
    <row r="14">
      <c r="A14" s="2" t="n">
        <v>13</v>
      </c>
      <c r="B14" s="2" t="inlineStr">
        <is>
          <t>D26-13</t>
        </is>
      </c>
      <c r="C14" s="2" t="n">
        <v>1</v>
      </c>
      <c r="D14" s="2" t="inlineStr">
        <is>
          <t>Shared</t>
        </is>
      </c>
      <c r="E14" s="2" t="inlineStr">
        <is>
          <t>D26</t>
        </is>
      </c>
      <c r="F14" s="2" t="inlineStr">
        <is>
          <t>Y</t>
        </is>
      </c>
      <c r="G14" s="2" t="n">
        <v>26</v>
      </c>
      <c r="H14" s="2" t="inlineStr">
        <is>
          <t>26um_Current_Min</t>
        </is>
      </c>
      <c r="I14" s="2" t="inlineStr">
        <is>
          <t>P2P3_2FI</t>
        </is>
      </c>
      <c r="J14" s="2" t="inlineStr">
        <is>
          <t>Constrained interaction</t>
        </is>
      </c>
      <c r="K14" s="2" t="inlineStr">
        <is>
          <t>Interaction</t>
        </is>
      </c>
      <c r="L14" s="2" t="inlineStr">
        <is>
          <t>Single</t>
        </is>
      </c>
      <c r="M14" s="2" t="n">
        <v>62</v>
      </c>
      <c r="N14" s="2" t="n">
        <v>0.5</v>
      </c>
      <c r="O14" s="2" t="n">
        <v>32</v>
      </c>
      <c r="P14" s="2" t="n">
        <v>6</v>
      </c>
      <c r="Q14" s="2" t="n">
        <v>1</v>
      </c>
      <c r="R14" s="2" t="n">
        <v>0</v>
      </c>
      <c r="S14" s="2" t="n">
        <v>-1</v>
      </c>
      <c r="T14" s="2" t="n">
        <v>1</v>
      </c>
      <c r="U14" s="2">
        <f>LN(G14)</f>
        <v/>
      </c>
      <c r="V14" s="2" t="inlineStr">
        <is>
          <t>Y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Normal</t>
        </is>
      </c>
      <c r="Z14" s="2" t="inlineStr">
        <is>
          <t>D26 제한조건부 교호작용 점. kV/R/F/W 상호 영향 확인</t>
        </is>
      </c>
      <c r="AA14" s="2" t="n"/>
      <c r="AB14" s="4" t="n"/>
      <c r="AC14" s="2">
        <f>IF(AB14="","",AB14/G14)</f>
        <v/>
      </c>
      <c r="AD14" s="2">
        <f>IF(AC14="","",LN(AC14))</f>
        <v/>
      </c>
      <c r="AE14" s="4" t="n"/>
      <c r="AF14" s="4" t="n"/>
      <c r="AG14" s="4" t="n"/>
      <c r="AH14" s="4" t="n"/>
    </row>
    <row r="15">
      <c r="A15" s="2" t="n">
        <v>14</v>
      </c>
      <c r="B15" s="2" t="inlineStr">
        <is>
          <t>D26-14</t>
        </is>
      </c>
      <c r="C15" s="2" t="n">
        <v>1</v>
      </c>
      <c r="D15" s="2" t="inlineStr">
        <is>
          <t>Shared</t>
        </is>
      </c>
      <c r="E15" s="2" t="inlineStr">
        <is>
          <t>D26</t>
        </is>
      </c>
      <c r="F15" s="2" t="inlineStr">
        <is>
          <t>Y</t>
        </is>
      </c>
      <c r="G15" s="2" t="n">
        <v>26</v>
      </c>
      <c r="H15" s="2" t="inlineStr">
        <is>
          <t>26um_Current_Min</t>
        </is>
      </c>
      <c r="I15" s="2" t="inlineStr">
        <is>
          <t>P2P3_2FI</t>
        </is>
      </c>
      <c r="J15" s="2" t="inlineStr">
        <is>
          <t>Constrained interaction</t>
        </is>
      </c>
      <c r="K15" s="2" t="inlineStr">
        <is>
          <t>Interaction</t>
        </is>
      </c>
      <c r="L15" s="2" t="inlineStr">
        <is>
          <t>Single</t>
        </is>
      </c>
      <c r="M15" s="2" t="n">
        <v>58</v>
      </c>
      <c r="N15" s="2" t="n">
        <v>0.35</v>
      </c>
      <c r="O15" s="2" t="n">
        <v>128</v>
      </c>
      <c r="P15" s="2" t="n">
        <v>4</v>
      </c>
      <c r="Q15" s="2" t="n">
        <v>-1</v>
      </c>
      <c r="R15" s="2" t="n">
        <v>-1</v>
      </c>
      <c r="S15" s="2" t="n">
        <v>1</v>
      </c>
      <c r="T15" s="2" t="n">
        <v>-1</v>
      </c>
      <c r="U15" s="2">
        <f>LN(G15)</f>
        <v/>
      </c>
      <c r="V15" s="2" t="inlineStr">
        <is>
          <t>Y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Normal</t>
        </is>
      </c>
      <c r="Z15" s="2" t="inlineStr">
        <is>
          <t>D26 제한조건부 교호작용 점. kV/R/F/W 상호 영향 확인</t>
        </is>
      </c>
      <c r="AA15" s="2" t="inlineStr">
        <is>
          <t>R low는 F high와만 사용.</t>
        </is>
      </c>
      <c r="AB15" s="4" t="n"/>
      <c r="AC15" s="2">
        <f>IF(AB15="","",AB15/G15)</f>
        <v/>
      </c>
      <c r="AD15" s="2">
        <f>IF(AC15="","",LN(AC15))</f>
        <v/>
      </c>
      <c r="AE15" s="4" t="n"/>
      <c r="AF15" s="4" t="n"/>
      <c r="AG15" s="4" t="n"/>
      <c r="AH15" s="4" t="n"/>
    </row>
    <row r="16">
      <c r="A16" s="2" t="n">
        <v>15</v>
      </c>
      <c r="B16" s="2" t="inlineStr">
        <is>
          <t>D26-15</t>
        </is>
      </c>
      <c r="C16" s="2" t="n">
        <v>1</v>
      </c>
      <c r="D16" s="2" t="inlineStr">
        <is>
          <t>Shared</t>
        </is>
      </c>
      <c r="E16" s="2" t="inlineStr">
        <is>
          <t>D26</t>
        </is>
      </c>
      <c r="F16" s="2" t="inlineStr">
        <is>
          <t>Y</t>
        </is>
      </c>
      <c r="G16" s="2" t="n">
        <v>26</v>
      </c>
      <c r="H16" s="2" t="inlineStr">
        <is>
          <t>26um_Current_Min</t>
        </is>
      </c>
      <c r="I16" s="2" t="inlineStr">
        <is>
          <t>P2P3_2FI</t>
        </is>
      </c>
      <c r="J16" s="2" t="inlineStr">
        <is>
          <t>Constrained interaction</t>
        </is>
      </c>
      <c r="K16" s="2" t="inlineStr">
        <is>
          <t>Interaction</t>
        </is>
      </c>
      <c r="L16" s="2" t="inlineStr">
        <is>
          <t>Single</t>
        </is>
      </c>
      <c r="M16" s="2" t="n">
        <v>62</v>
      </c>
      <c r="N16" s="2" t="n">
        <v>0.35</v>
      </c>
      <c r="O16" s="2" t="n">
        <v>128</v>
      </c>
      <c r="P16" s="2" t="n">
        <v>6</v>
      </c>
      <c r="Q16" s="2" t="n">
        <v>1</v>
      </c>
      <c r="R16" s="2" t="n">
        <v>-1</v>
      </c>
      <c r="S16" s="2" t="n">
        <v>1</v>
      </c>
      <c r="T16" s="2" t="n">
        <v>1</v>
      </c>
      <c r="U16" s="2">
        <f>LN(G16)</f>
        <v/>
      </c>
      <c r="V16" s="2" t="inlineStr">
        <is>
          <t>Y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Normal</t>
        </is>
      </c>
      <c r="Z16" s="2" t="inlineStr">
        <is>
          <t>D26 제한조건부 교호작용 점. kV/R/F/W 상호 영향 확인</t>
        </is>
      </c>
      <c r="AA16" s="2" t="inlineStr">
        <is>
          <t>R low는 F high와만 사용.</t>
        </is>
      </c>
      <c r="AB16" s="4" t="n"/>
      <c r="AC16" s="2">
        <f>IF(AB16="","",AB16/G16)</f>
        <v/>
      </c>
      <c r="AD16" s="2">
        <f>IF(AC16="","",LN(AC16))</f>
        <v/>
      </c>
      <c r="AE16" s="4" t="n"/>
      <c r="AF16" s="4" t="n"/>
      <c r="AG16" s="4" t="n"/>
      <c r="AH16" s="4" t="n"/>
    </row>
    <row r="17">
      <c r="A17" s="2" t="n">
        <v>16</v>
      </c>
      <c r="B17" s="2" t="inlineStr">
        <is>
          <t>D26-16</t>
        </is>
      </c>
      <c r="C17" s="2" t="n">
        <v>1</v>
      </c>
      <c r="D17" s="2" t="inlineStr">
        <is>
          <t>Shared</t>
        </is>
      </c>
      <c r="E17" s="2" t="inlineStr">
        <is>
          <t>D26</t>
        </is>
      </c>
      <c r="F17" s="2" t="inlineStr">
        <is>
          <t>Y</t>
        </is>
      </c>
      <c r="G17" s="2" t="n">
        <v>26</v>
      </c>
      <c r="H17" s="2" t="inlineStr">
        <is>
          <t>26um_Current_Min</t>
        </is>
      </c>
      <c r="I17" s="2" t="inlineStr">
        <is>
          <t>P2P3_2FI</t>
        </is>
      </c>
      <c r="J17" s="2" t="inlineStr">
        <is>
          <t>Constrained interaction</t>
        </is>
      </c>
      <c r="K17" s="2" t="inlineStr">
        <is>
          <t>Interaction</t>
        </is>
      </c>
      <c r="L17" s="2" t="inlineStr">
        <is>
          <t>Single</t>
        </is>
      </c>
      <c r="M17" s="2" t="n">
        <v>58</v>
      </c>
      <c r="N17" s="2" t="n">
        <v>0.65</v>
      </c>
      <c r="O17" s="2" t="n">
        <v>32</v>
      </c>
      <c r="P17" s="2" t="n">
        <v>6</v>
      </c>
      <c r="Q17" s="2" t="n">
        <v>-1</v>
      </c>
      <c r="R17" s="2" t="n">
        <v>1</v>
      </c>
      <c r="S17" s="2" t="n">
        <v>-1</v>
      </c>
      <c r="T17" s="2" t="n">
        <v>1</v>
      </c>
      <c r="U17" s="2">
        <f>LN(G17)</f>
        <v/>
      </c>
      <c r="V17" s="2" t="inlineStr">
        <is>
          <t>Y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Normal</t>
        </is>
      </c>
      <c r="Z17" s="2" t="inlineStr">
        <is>
          <t>D26 제한조건부 교호작용 점. kV/R/F/W 상호 영향 확인</t>
        </is>
      </c>
      <c r="AA17" s="2" t="n"/>
      <c r="AB17" s="4" t="n"/>
      <c r="AC17" s="2">
        <f>IF(AB17="","",AB17/G17)</f>
        <v/>
      </c>
      <c r="AD17" s="2">
        <f>IF(AC17="","",LN(AC17))</f>
        <v/>
      </c>
      <c r="AE17" s="4" t="n"/>
      <c r="AF17" s="4" t="n"/>
      <c r="AG17" s="4" t="n"/>
      <c r="AH17" s="4" t="n"/>
    </row>
    <row r="18">
      <c r="A18" s="2" t="n">
        <v>17</v>
      </c>
      <c r="B18" s="2" t="inlineStr">
        <is>
          <t>D26-17</t>
        </is>
      </c>
      <c r="C18" s="2" t="n">
        <v>1</v>
      </c>
      <c r="D18" s="2" t="inlineStr">
        <is>
          <t>Shared</t>
        </is>
      </c>
      <c r="E18" s="2" t="inlineStr">
        <is>
          <t>D26</t>
        </is>
      </c>
      <c r="F18" s="2" t="inlineStr">
        <is>
          <t>Y</t>
        </is>
      </c>
      <c r="G18" s="2" t="n">
        <v>26</v>
      </c>
      <c r="H18" s="2" t="inlineStr">
        <is>
          <t>26um_Current_Min</t>
        </is>
      </c>
      <c r="I18" s="2" t="inlineStr">
        <is>
          <t>P2P3_2FI</t>
        </is>
      </c>
      <c r="J18" s="2" t="inlineStr">
        <is>
          <t>Constrained interaction</t>
        </is>
      </c>
      <c r="K18" s="2" t="inlineStr">
        <is>
          <t>Interaction</t>
        </is>
      </c>
      <c r="L18" s="2" t="inlineStr">
        <is>
          <t>Single</t>
        </is>
      </c>
      <c r="M18" s="2" t="n">
        <v>62</v>
      </c>
      <c r="N18" s="2" t="n">
        <v>0.65</v>
      </c>
      <c r="O18" s="2" t="n">
        <v>32</v>
      </c>
      <c r="P18" s="2" t="n">
        <v>4</v>
      </c>
      <c r="Q18" s="2" t="n">
        <v>1</v>
      </c>
      <c r="R18" s="2" t="n">
        <v>1</v>
      </c>
      <c r="S18" s="2" t="n">
        <v>-1</v>
      </c>
      <c r="T18" s="2" t="n">
        <v>-1</v>
      </c>
      <c r="U18" s="2">
        <f>LN(G18)</f>
        <v/>
      </c>
      <c r="V18" s="2" t="inlineStr">
        <is>
          <t>Y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Normal</t>
        </is>
      </c>
      <c r="Z18" s="2" t="inlineStr">
        <is>
          <t>D26 제한조건부 교호작용 점. kV/R/F/W 상호 영향 확인</t>
        </is>
      </c>
      <c r="AA18" s="2" t="n"/>
      <c r="AB18" s="4" t="n"/>
      <c r="AC18" s="2">
        <f>IF(AB18="","",AB18/G18)</f>
        <v/>
      </c>
      <c r="AD18" s="2">
        <f>IF(AC18="","",LN(AC18))</f>
        <v/>
      </c>
      <c r="AE18" s="4" t="n"/>
      <c r="AF18" s="4" t="n"/>
      <c r="AG18" s="4" t="n"/>
      <c r="AH18" s="4" t="n"/>
    </row>
    <row r="19">
      <c r="A19" s="2" t="n">
        <v>18</v>
      </c>
      <c r="B19" s="2" t="inlineStr">
        <is>
          <t>D26-18</t>
        </is>
      </c>
      <c r="C19" s="2" t="n">
        <v>1</v>
      </c>
      <c r="D19" s="2" t="inlineStr">
        <is>
          <t>Shared</t>
        </is>
      </c>
      <c r="E19" s="2" t="inlineStr">
        <is>
          <t>D26</t>
        </is>
      </c>
      <c r="F19" s="2" t="inlineStr">
        <is>
          <t>Y</t>
        </is>
      </c>
      <c r="G19" s="2" t="n">
        <v>26</v>
      </c>
      <c r="H19" s="2" t="inlineStr">
        <is>
          <t>26um_Current_Min</t>
        </is>
      </c>
      <c r="I19" s="2" t="inlineStr">
        <is>
          <t>P2P3_2FI</t>
        </is>
      </c>
      <c r="J19" s="2" t="inlineStr">
        <is>
          <t>Constrained interaction</t>
        </is>
      </c>
      <c r="K19" s="2" t="inlineStr">
        <is>
          <t>Interaction</t>
        </is>
      </c>
      <c r="L19" s="2" t="inlineStr">
        <is>
          <t>Single</t>
        </is>
      </c>
      <c r="M19" s="2" t="n">
        <v>58</v>
      </c>
      <c r="N19" s="2" t="n">
        <v>0.5</v>
      </c>
      <c r="O19" s="2" t="n">
        <v>128</v>
      </c>
      <c r="P19" s="2" t="n">
        <v>6</v>
      </c>
      <c r="Q19" s="2" t="n">
        <v>-1</v>
      </c>
      <c r="R19" s="2" t="n">
        <v>0</v>
      </c>
      <c r="S19" s="2" t="n">
        <v>1</v>
      </c>
      <c r="T19" s="2" t="n">
        <v>1</v>
      </c>
      <c r="U19" s="2">
        <f>LN(G19)</f>
        <v/>
      </c>
      <c r="V19" s="2" t="inlineStr">
        <is>
          <t>Y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Normal</t>
        </is>
      </c>
      <c r="Z19" s="2" t="inlineStr">
        <is>
          <t>D26 제한조건부 교호작용 점. kV/R/F/W 상호 영향 확인</t>
        </is>
      </c>
      <c r="AA19" s="2" t="n"/>
      <c r="AB19" s="4" t="n"/>
      <c r="AC19" s="2">
        <f>IF(AB19="","",AB19/G19)</f>
        <v/>
      </c>
      <c r="AD19" s="2">
        <f>IF(AC19="","",LN(AC19))</f>
        <v/>
      </c>
      <c r="AE19" s="4" t="n"/>
      <c r="AF19" s="4" t="n"/>
      <c r="AG19" s="4" t="n"/>
      <c r="AH19" s="4" t="n"/>
    </row>
    <row r="20">
      <c r="A20" s="2" t="n">
        <v>19</v>
      </c>
      <c r="B20" s="2" t="inlineStr">
        <is>
          <t>D26-19</t>
        </is>
      </c>
      <c r="C20" s="2" t="n">
        <v>1</v>
      </c>
      <c r="D20" s="2" t="inlineStr">
        <is>
          <t>Shared</t>
        </is>
      </c>
      <c r="E20" s="2" t="inlineStr">
        <is>
          <t>D26</t>
        </is>
      </c>
      <c r="F20" s="2" t="inlineStr">
        <is>
          <t>Y</t>
        </is>
      </c>
      <c r="G20" s="2" t="n">
        <v>26</v>
      </c>
      <c r="H20" s="2" t="inlineStr">
        <is>
          <t>26um_Current_Min</t>
        </is>
      </c>
      <c r="I20" s="2" t="inlineStr">
        <is>
          <t>P2P3_2FI</t>
        </is>
      </c>
      <c r="J20" s="2" t="inlineStr">
        <is>
          <t>Constrained interaction</t>
        </is>
      </c>
      <c r="K20" s="2" t="inlineStr">
        <is>
          <t>Interaction</t>
        </is>
      </c>
      <c r="L20" s="2" t="inlineStr">
        <is>
          <t>Single</t>
        </is>
      </c>
      <c r="M20" s="2" t="n">
        <v>62</v>
      </c>
      <c r="N20" s="2" t="n">
        <v>0.5</v>
      </c>
      <c r="O20" s="2" t="n">
        <v>128</v>
      </c>
      <c r="P20" s="2" t="n">
        <v>4</v>
      </c>
      <c r="Q20" s="2" t="n">
        <v>1</v>
      </c>
      <c r="R20" s="2" t="n">
        <v>0</v>
      </c>
      <c r="S20" s="2" t="n">
        <v>1</v>
      </c>
      <c r="T20" s="2" t="n">
        <v>-1</v>
      </c>
      <c r="U20" s="2">
        <f>LN(G20)</f>
        <v/>
      </c>
      <c r="V20" s="2" t="inlineStr">
        <is>
          <t>Y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Normal</t>
        </is>
      </c>
      <c r="Z20" s="2" t="inlineStr">
        <is>
          <t>D26 제한조건부 교호작용 점. kV/R/F/W 상호 영향 확인</t>
        </is>
      </c>
      <c r="AA20" s="2" t="n"/>
      <c r="AB20" s="4" t="n"/>
      <c r="AC20" s="2">
        <f>IF(AB20="","",AB20/G20)</f>
        <v/>
      </c>
      <c r="AD20" s="2">
        <f>IF(AC20="","",LN(AC20))</f>
        <v/>
      </c>
      <c r="AE20" s="4" t="n"/>
      <c r="AF20" s="4" t="n"/>
      <c r="AG20" s="4" t="n"/>
      <c r="AH20" s="4" t="n"/>
    </row>
    <row r="21">
      <c r="A21" s="2" t="n">
        <v>20</v>
      </c>
      <c r="B21" s="2" t="inlineStr">
        <is>
          <t>D86-01</t>
        </is>
      </c>
      <c r="C21" s="2" t="n">
        <v>1</v>
      </c>
      <c r="D21" s="2" t="inlineStr">
        <is>
          <t>Shared</t>
        </is>
      </c>
      <c r="E21" s="2" t="inlineStr">
        <is>
          <t>D86</t>
        </is>
      </c>
      <c r="F21" s="2" t="inlineStr">
        <is>
          <t>Y</t>
        </is>
      </c>
      <c r="G21" s="2" t="n">
        <v>86</v>
      </c>
      <c r="H21" s="2" t="inlineStr">
        <is>
          <t>86um_Current_Mid</t>
        </is>
      </c>
      <c r="I21" s="2" t="inlineStr">
        <is>
          <t>P0_Center</t>
        </is>
      </c>
      <c r="J21" s="2" t="inlineStr">
        <is>
          <t>Center repeat</t>
        </is>
      </c>
      <c r="K21" s="2" t="inlineStr">
        <is>
          <t>Center</t>
        </is>
      </c>
      <c r="L21" s="2" t="inlineStr">
        <is>
          <t>Rep1</t>
        </is>
      </c>
      <c r="M21" s="2" t="n">
        <v>60.5</v>
      </c>
      <c r="N21" s="2" t="n">
        <v>0.8</v>
      </c>
      <c r="O21" s="2" t="n">
        <v>64</v>
      </c>
      <c r="P21" s="2" t="n">
        <v>4</v>
      </c>
      <c r="Q21" s="2" t="n">
        <v>0</v>
      </c>
      <c r="R21" s="2" t="n">
        <v>0</v>
      </c>
      <c r="S21" s="2" t="n">
        <v>0</v>
      </c>
      <c r="T21" s="2" t="n">
        <v>0</v>
      </c>
      <c r="U21" s="2">
        <f>LN(G21)</f>
        <v/>
      </c>
      <c r="V21" s="2" t="inlineStr">
        <is>
          <t>Y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Normal</t>
        </is>
      </c>
      <c r="Z21" s="2" t="inlineStr">
        <is>
          <t>86um 중심 조건 반복. 반복오차/기준 Q_dia 확보</t>
        </is>
      </c>
      <c r="AA21" s="2" t="inlineStr">
        <is>
          <t>F64 중심. 기존 F32 안정성 대비 여유 조건</t>
        </is>
      </c>
      <c r="AB21" s="4" t="n"/>
      <c r="AC21" s="2">
        <f>IF(AB21="","",AB21/G21)</f>
        <v/>
      </c>
      <c r="AD21" s="2">
        <f>IF(AC21="","",LN(AC21))</f>
        <v/>
      </c>
      <c r="AE21" s="4" t="n"/>
      <c r="AF21" s="4" t="n"/>
      <c r="AG21" s="4" t="n"/>
      <c r="AH21" s="4" t="n"/>
    </row>
    <row r="22">
      <c r="A22" s="2" t="n">
        <v>21</v>
      </c>
      <c r="B22" s="2" t="inlineStr">
        <is>
          <t>D86-02</t>
        </is>
      </c>
      <c r="C22" s="2" t="n">
        <v>1</v>
      </c>
      <c r="D22" s="2" t="inlineStr">
        <is>
          <t>Shared</t>
        </is>
      </c>
      <c r="E22" s="2" t="inlineStr">
        <is>
          <t>D86</t>
        </is>
      </c>
      <c r="F22" s="2" t="inlineStr">
        <is>
          <t>Y</t>
        </is>
      </c>
      <c r="G22" s="2" t="n">
        <v>86</v>
      </c>
      <c r="H22" s="2" t="inlineStr">
        <is>
          <t>86um_Current_Mid</t>
        </is>
      </c>
      <c r="I22" s="2" t="inlineStr">
        <is>
          <t>P0_Center</t>
        </is>
      </c>
      <c r="J22" s="2" t="inlineStr">
        <is>
          <t>Center repeat</t>
        </is>
      </c>
      <c r="K22" s="2" t="inlineStr">
        <is>
          <t>Center</t>
        </is>
      </c>
      <c r="L22" s="2" t="inlineStr">
        <is>
          <t>Rep2</t>
        </is>
      </c>
      <c r="M22" s="2" t="n">
        <v>60.5</v>
      </c>
      <c r="N22" s="2" t="n">
        <v>0.8</v>
      </c>
      <c r="O22" s="2" t="n">
        <v>64</v>
      </c>
      <c r="P22" s="2" t="n">
        <v>4</v>
      </c>
      <c r="Q22" s="2" t="n">
        <v>0</v>
      </c>
      <c r="R22" s="2" t="n">
        <v>0</v>
      </c>
      <c r="S22" s="2" t="n">
        <v>0</v>
      </c>
      <c r="T22" s="2" t="n">
        <v>0</v>
      </c>
      <c r="U22" s="2">
        <f>LN(G22)</f>
        <v/>
      </c>
      <c r="V22" s="2" t="inlineStr">
        <is>
          <t>Y</t>
        </is>
      </c>
      <c r="W22" s="2" t="inlineStr">
        <is>
          <t>Y</t>
        </is>
      </c>
      <c r="X22" s="2" t="inlineStr">
        <is>
          <t>N</t>
        </is>
      </c>
      <c r="Y22" s="2" t="inlineStr">
        <is>
          <t>Normal</t>
        </is>
      </c>
      <c r="Z22" s="2" t="inlineStr">
        <is>
          <t>86um 중심 조건 반복. 반복오차/기준 Q_dia 확보</t>
        </is>
      </c>
      <c r="AA22" s="2" t="inlineStr">
        <is>
          <t>F64 중심. 기존 F32 안정성 대비 여유 조건</t>
        </is>
      </c>
      <c r="AB22" s="4" t="n"/>
      <c r="AC22" s="2">
        <f>IF(AB22="","",AB22/G22)</f>
        <v/>
      </c>
      <c r="AD22" s="2">
        <f>IF(AC22="","",LN(AC22))</f>
        <v/>
      </c>
      <c r="AE22" s="4" t="n"/>
      <c r="AF22" s="4" t="n"/>
      <c r="AG22" s="4" t="n"/>
      <c r="AH22" s="4" t="n"/>
    </row>
    <row r="23">
      <c r="A23" s="2" t="n">
        <v>22</v>
      </c>
      <c r="B23" s="2" t="inlineStr">
        <is>
          <t>D86-03</t>
        </is>
      </c>
      <c r="C23" s="2" t="n">
        <v>1</v>
      </c>
      <c r="D23" s="2" t="inlineStr">
        <is>
          <t>Shared</t>
        </is>
      </c>
      <c r="E23" s="2" t="inlineStr">
        <is>
          <t>D86</t>
        </is>
      </c>
      <c r="F23" s="2" t="inlineStr">
        <is>
          <t>Y</t>
        </is>
      </c>
      <c r="G23" s="2" t="n">
        <v>86</v>
      </c>
      <c r="H23" s="2" t="inlineStr">
        <is>
          <t>86um_Current_Mid</t>
        </is>
      </c>
      <c r="I23" s="2" t="inlineStr">
        <is>
          <t>P0_Center</t>
        </is>
      </c>
      <c r="J23" s="2" t="inlineStr">
        <is>
          <t>Center repeat</t>
        </is>
      </c>
      <c r="K23" s="2" t="inlineStr">
        <is>
          <t>Center</t>
        </is>
      </c>
      <c r="L23" s="2" t="inlineStr">
        <is>
          <t>Rep3</t>
        </is>
      </c>
      <c r="M23" s="2" t="n">
        <v>60.5</v>
      </c>
      <c r="N23" s="2" t="n">
        <v>0.8</v>
      </c>
      <c r="O23" s="2" t="n">
        <v>64</v>
      </c>
      <c r="P23" s="2" t="n">
        <v>4</v>
      </c>
      <c r="Q23" s="2" t="n">
        <v>0</v>
      </c>
      <c r="R23" s="2" t="n">
        <v>0</v>
      </c>
      <c r="S23" s="2" t="n">
        <v>0</v>
      </c>
      <c r="T23" s="2" t="n">
        <v>0</v>
      </c>
      <c r="U23" s="2">
        <f>LN(G23)</f>
        <v/>
      </c>
      <c r="V23" s="2" t="inlineStr">
        <is>
          <t>Y</t>
        </is>
      </c>
      <c r="W23" s="2" t="inlineStr">
        <is>
          <t>Y</t>
        </is>
      </c>
      <c r="X23" s="2" t="inlineStr">
        <is>
          <t>N</t>
        </is>
      </c>
      <c r="Y23" s="2" t="inlineStr">
        <is>
          <t>Normal</t>
        </is>
      </c>
      <c r="Z23" s="2" t="inlineStr">
        <is>
          <t>86um 중심 조건 반복. 반복오차/기준 Q_dia 확보</t>
        </is>
      </c>
      <c r="AA23" s="2" t="inlineStr">
        <is>
          <t>F64 중심. 기존 F32 안정성 대비 여유 조건</t>
        </is>
      </c>
      <c r="AB23" s="4" t="n"/>
      <c r="AC23" s="2">
        <f>IF(AB23="","",AB23/G23)</f>
        <v/>
      </c>
      <c r="AD23" s="2">
        <f>IF(AC23="","",LN(AC23))</f>
        <v/>
      </c>
      <c r="AE23" s="4" t="n"/>
      <c r="AF23" s="4" t="n"/>
      <c r="AG23" s="4" t="n"/>
      <c r="AH23" s="4" t="n"/>
    </row>
    <row r="24">
      <c r="A24" s="2" t="n">
        <v>23</v>
      </c>
      <c r="B24" s="2" t="inlineStr">
        <is>
          <t>D86-04</t>
        </is>
      </c>
      <c r="C24" s="2" t="n">
        <v>1</v>
      </c>
      <c r="D24" s="2" t="inlineStr">
        <is>
          <t>Shared</t>
        </is>
      </c>
      <c r="E24" s="2" t="inlineStr">
        <is>
          <t>D86</t>
        </is>
      </c>
      <c r="F24" s="2" t="inlineStr">
        <is>
          <t>Y</t>
        </is>
      </c>
      <c r="G24" s="2" t="n">
        <v>86</v>
      </c>
      <c r="H24" s="2" t="inlineStr">
        <is>
          <t>86um_Current_Mid</t>
        </is>
      </c>
      <c r="I24" s="2" t="inlineStr">
        <is>
          <t>P1_kV</t>
        </is>
      </c>
      <c r="J24" s="2" t="inlineStr">
        <is>
          <t>kV low axial</t>
        </is>
      </c>
      <c r="K24" s="2" t="inlineStr">
        <is>
          <t>Axial_kV_L</t>
        </is>
      </c>
      <c r="L24" s="2" t="inlineStr">
        <is>
          <t>Single</t>
        </is>
      </c>
      <c r="M24" s="2" t="n">
        <v>58.5</v>
      </c>
      <c r="N24" s="2" t="n">
        <v>0.8</v>
      </c>
      <c r="O24" s="2" t="n">
        <v>64</v>
      </c>
      <c r="P24" s="2" t="n">
        <v>4</v>
      </c>
      <c r="Q24" s="2" t="n">
        <v>-1</v>
      </c>
      <c r="R24" s="2" t="n">
        <v>0</v>
      </c>
      <c r="S24" s="2" t="n">
        <v>0</v>
      </c>
      <c r="T24" s="2" t="n">
        <v>0</v>
      </c>
      <c r="U24" s="2">
        <f>LN(G24)</f>
        <v/>
      </c>
      <c r="V24" s="2" t="inlineStr">
        <is>
          <t>Y</t>
        </is>
      </c>
      <c r="W24" s="2" t="inlineStr">
        <is>
          <t>Y</t>
        </is>
      </c>
      <c r="X24" s="2" t="inlineStr">
        <is>
          <t>N</t>
        </is>
      </c>
      <c r="Y24" s="2" t="inlineStr">
        <is>
          <t>Normal</t>
        </is>
      </c>
      <c r="Z24" s="2" t="inlineStr">
        <is>
          <t>86um kV low 확인</t>
        </is>
      </c>
      <c r="AA24" s="2" t="n"/>
      <c r="AB24" s="4" t="n"/>
      <c r="AC24" s="2">
        <f>IF(AB24="","",AB24/G24)</f>
        <v/>
      </c>
      <c r="AD24" s="2">
        <f>IF(AC24="","",LN(AC24))</f>
        <v/>
      </c>
      <c r="AE24" s="4" t="n"/>
      <c r="AF24" s="4" t="n"/>
      <c r="AG24" s="4" t="n"/>
      <c r="AH24" s="4" t="n"/>
    </row>
    <row r="25">
      <c r="A25" s="2" t="n">
        <v>24</v>
      </c>
      <c r="B25" s="2" t="inlineStr">
        <is>
          <t>D86-05</t>
        </is>
      </c>
      <c r="C25" s="2" t="n">
        <v>1</v>
      </c>
      <c r="D25" s="2" t="inlineStr">
        <is>
          <t>Shared</t>
        </is>
      </c>
      <c r="E25" s="2" t="inlineStr">
        <is>
          <t>D86</t>
        </is>
      </c>
      <c r="F25" s="2" t="inlineStr">
        <is>
          <t>Y</t>
        </is>
      </c>
      <c r="G25" s="2" t="n">
        <v>86</v>
      </c>
      <c r="H25" s="2" t="inlineStr">
        <is>
          <t>86um_Current_Mid</t>
        </is>
      </c>
      <c r="I25" s="2" t="inlineStr">
        <is>
          <t>P1_kV</t>
        </is>
      </c>
      <c r="J25" s="2" t="inlineStr">
        <is>
          <t>kV high axial</t>
        </is>
      </c>
      <c r="K25" s="2" t="inlineStr">
        <is>
          <t>Axial_kV_H</t>
        </is>
      </c>
      <c r="L25" s="2" t="inlineStr">
        <is>
          <t>Single</t>
        </is>
      </c>
      <c r="M25" s="2" t="n">
        <v>62.5</v>
      </c>
      <c r="N25" s="2" t="n">
        <v>0.8</v>
      </c>
      <c r="O25" s="2" t="n">
        <v>64</v>
      </c>
      <c r="P25" s="2" t="n">
        <v>4</v>
      </c>
      <c r="Q25" s="2" t="n">
        <v>1</v>
      </c>
      <c r="R25" s="2" t="n">
        <v>0</v>
      </c>
      <c r="S25" s="2" t="n">
        <v>0</v>
      </c>
      <c r="T25" s="2" t="n">
        <v>0</v>
      </c>
      <c r="U25" s="2">
        <f>LN(G25)</f>
        <v/>
      </c>
      <c r="V25" s="2" t="inlineStr">
        <is>
          <t>Y</t>
        </is>
      </c>
      <c r="W25" s="2" t="inlineStr">
        <is>
          <t>Y</t>
        </is>
      </c>
      <c r="X25" s="2" t="inlineStr">
        <is>
          <t>N</t>
        </is>
      </c>
      <c r="Y25" s="2" t="inlineStr">
        <is>
          <t>Normal</t>
        </is>
      </c>
      <c r="Z25" s="2" t="inlineStr">
        <is>
          <t>86um kV high 확인</t>
        </is>
      </c>
      <c r="AA25" s="2" t="n"/>
      <c r="AB25" s="4" t="n"/>
      <c r="AC25" s="2">
        <f>IF(AB25="","",AB25/G25)</f>
        <v/>
      </c>
      <c r="AD25" s="2">
        <f>IF(AC25="","",LN(AC25))</f>
        <v/>
      </c>
      <c r="AE25" s="4" t="n"/>
      <c r="AF25" s="4" t="n"/>
      <c r="AG25" s="4" t="n"/>
      <c r="AH25" s="4" t="n"/>
    </row>
    <row r="26">
      <c r="A26" s="2" t="n">
        <v>25</v>
      </c>
      <c r="B26" s="2" t="inlineStr">
        <is>
          <t>D86-06</t>
        </is>
      </c>
      <c r="C26" s="2" t="n">
        <v>1</v>
      </c>
      <c r="D26" s="2" t="inlineStr">
        <is>
          <t>Shared</t>
        </is>
      </c>
      <c r="E26" s="2" t="inlineStr">
        <is>
          <t>D86</t>
        </is>
      </c>
      <c r="F26" s="2" t="inlineStr">
        <is>
          <t>Y</t>
        </is>
      </c>
      <c r="G26" s="2" t="n">
        <v>86</v>
      </c>
      <c r="H26" s="2" t="inlineStr">
        <is>
          <t>86um_Current_Mid</t>
        </is>
      </c>
      <c r="I26" s="2" t="inlineStr">
        <is>
          <t>P2_RF</t>
        </is>
      </c>
      <c r="J26" s="2" t="inlineStr">
        <is>
          <t>R low axial</t>
        </is>
      </c>
      <c r="K26" s="2" t="inlineStr">
        <is>
          <t>Axial_R_L</t>
        </is>
      </c>
      <c r="L26" s="2" t="inlineStr">
        <is>
          <t>Single</t>
        </is>
      </c>
      <c r="M26" s="2" t="n">
        <v>60.5</v>
      </c>
      <c r="N26" s="2" t="n">
        <v>0.5</v>
      </c>
      <c r="O26" s="2" t="n">
        <v>64</v>
      </c>
      <c r="P26" s="2" t="n">
        <v>4</v>
      </c>
      <c r="Q26" s="2" t="n">
        <v>0</v>
      </c>
      <c r="R26" s="2" t="n">
        <v>-1</v>
      </c>
      <c r="S26" s="2" t="n">
        <v>0</v>
      </c>
      <c r="T26" s="2" t="n">
        <v>0</v>
      </c>
      <c r="U26" s="2">
        <f>LN(G26)</f>
        <v/>
      </c>
      <c r="V26" s="2" t="inlineStr">
        <is>
          <t>Y</t>
        </is>
      </c>
      <c r="W26" s="2" t="inlineStr">
        <is>
          <t>Y</t>
        </is>
      </c>
      <c r="X26" s="2" t="inlineStr">
        <is>
          <t>N</t>
        </is>
      </c>
      <c r="Y26" s="2" t="inlineStr">
        <is>
          <t>Normal</t>
        </is>
      </c>
      <c r="Z26" s="2" t="inlineStr">
        <is>
          <t>fine R 영향 확인</t>
        </is>
      </c>
      <c r="AA26" s="2" t="n"/>
      <c r="AB26" s="4" t="n"/>
      <c r="AC26" s="2">
        <f>IF(AB26="","",AB26/G26)</f>
        <v/>
      </c>
      <c r="AD26" s="2">
        <f>IF(AC26="","",LN(AC26))</f>
        <v/>
      </c>
      <c r="AE26" s="4" t="n"/>
      <c r="AF26" s="4" t="n"/>
      <c r="AG26" s="4" t="n"/>
      <c r="AH26" s="4" t="n"/>
    </row>
    <row r="27">
      <c r="A27" s="2" t="n">
        <v>26</v>
      </c>
      <c r="B27" s="2" t="inlineStr">
        <is>
          <t>D86-07</t>
        </is>
      </c>
      <c r="C27" s="2" t="n">
        <v>1</v>
      </c>
      <c r="D27" s="2" t="inlineStr">
        <is>
          <t>Shared</t>
        </is>
      </c>
      <c r="E27" s="2" t="inlineStr">
        <is>
          <t>D86</t>
        </is>
      </c>
      <c r="F27" s="2" t="inlineStr">
        <is>
          <t>Y</t>
        </is>
      </c>
      <c r="G27" s="2" t="n">
        <v>86</v>
      </c>
      <c r="H27" s="2" t="inlineStr">
        <is>
          <t>86um_Current_Mid</t>
        </is>
      </c>
      <c r="I27" s="2" t="inlineStr">
        <is>
          <t>P2_RF</t>
        </is>
      </c>
      <c r="J27" s="2" t="inlineStr">
        <is>
          <t>R high axial</t>
        </is>
      </c>
      <c r="K27" s="2" t="inlineStr">
        <is>
          <t>Axial_R_H</t>
        </is>
      </c>
      <c r="L27" s="2" t="inlineStr">
        <is>
          <t>Single</t>
        </is>
      </c>
      <c r="M27" s="2" t="n">
        <v>60.5</v>
      </c>
      <c r="N27" s="2" t="n">
        <v>1.5</v>
      </c>
      <c r="O27" s="2" t="n">
        <v>64</v>
      </c>
      <c r="P27" s="2" t="n">
        <v>4</v>
      </c>
      <c r="Q27" s="2" t="n">
        <v>0</v>
      </c>
      <c r="R27" s="2" t="n">
        <v>1</v>
      </c>
      <c r="S27" s="2" t="n">
        <v>0</v>
      </c>
      <c r="T27" s="2" t="n">
        <v>0</v>
      </c>
      <c r="U27" s="2">
        <f>LN(G27)</f>
        <v/>
      </c>
      <c r="V27" s="2" t="inlineStr">
        <is>
          <t>Y</t>
        </is>
      </c>
      <c r="W27" s="2" t="inlineStr">
        <is>
          <t>Y</t>
        </is>
      </c>
      <c r="X27" s="2" t="inlineStr">
        <is>
          <t>N</t>
        </is>
      </c>
      <c r="Y27" s="2" t="inlineStr">
        <is>
          <t>Normal</t>
        </is>
      </c>
      <c r="Z27" s="2" t="inlineStr">
        <is>
          <t>coarse R 영향 확인</t>
        </is>
      </c>
      <c r="AA27" s="2" t="n"/>
      <c r="AB27" s="4" t="n"/>
      <c r="AC27" s="2">
        <f>IF(AB27="","",AB27/G27)</f>
        <v/>
      </c>
      <c r="AD27" s="2">
        <f>IF(AC27="","",LN(AC27))</f>
        <v/>
      </c>
      <c r="AE27" s="4" t="n"/>
      <c r="AF27" s="4" t="n"/>
      <c r="AG27" s="4" t="n"/>
      <c r="AH27" s="4" t="n"/>
    </row>
    <row r="28">
      <c r="A28" s="2" t="n">
        <v>27</v>
      </c>
      <c r="B28" s="2" t="inlineStr">
        <is>
          <t>D86-08</t>
        </is>
      </c>
      <c r="C28" s="2" t="n">
        <v>1</v>
      </c>
      <c r="D28" s="2" t="inlineStr">
        <is>
          <t>Shared</t>
        </is>
      </c>
      <c r="E28" s="2" t="inlineStr">
        <is>
          <t>D86</t>
        </is>
      </c>
      <c r="F28" s="2" t="inlineStr">
        <is>
          <t>Y</t>
        </is>
      </c>
      <c r="G28" s="2" t="n">
        <v>86</v>
      </c>
      <c r="H28" s="2" t="inlineStr">
        <is>
          <t>86um_Current_Mid</t>
        </is>
      </c>
      <c r="I28" s="2" t="inlineStr">
        <is>
          <t>P2_RF</t>
        </is>
      </c>
      <c r="J28" s="2" t="inlineStr">
        <is>
          <t>F low axial</t>
        </is>
      </c>
      <c r="K28" s="2" t="inlineStr">
        <is>
          <t>Axial_F_L</t>
        </is>
      </c>
      <c r="L28" s="2" t="inlineStr">
        <is>
          <t>Single</t>
        </is>
      </c>
      <c r="M28" s="2" t="n">
        <v>60.5</v>
      </c>
      <c r="N28" s="2" t="n">
        <v>0.8</v>
      </c>
      <c r="O28" s="2" t="n">
        <v>32</v>
      </c>
      <c r="P28" s="2" t="n">
        <v>4</v>
      </c>
      <c r="Q28" s="2" t="n">
        <v>0</v>
      </c>
      <c r="R28" s="2" t="n">
        <v>0</v>
      </c>
      <c r="S28" s="2" t="n">
        <v>-1</v>
      </c>
      <c r="T28" s="2" t="n">
        <v>0</v>
      </c>
      <c r="U28" s="2">
        <f>LN(G28)</f>
        <v/>
      </c>
      <c r="V28" s="2" t="inlineStr">
        <is>
          <t>Y</t>
        </is>
      </c>
      <c r="W28" s="2" t="inlineStr">
        <is>
          <t>Y</t>
        </is>
      </c>
      <c r="X28" s="2" t="inlineStr">
        <is>
          <t>N</t>
        </is>
      </c>
      <c r="Y28" s="2" t="inlineStr">
        <is>
          <t>Normal</t>
        </is>
      </c>
      <c r="Z28" s="2" t="inlineStr">
        <is>
          <t>F32 하한 조건. 시간 단축 가능성/정확도 확인</t>
        </is>
      </c>
      <c r="AA28" s="2" t="inlineStr">
        <is>
          <t>F32가 최소값</t>
        </is>
      </c>
      <c r="AB28" s="4" t="n"/>
      <c r="AC28" s="2">
        <f>IF(AB28="","",AB28/G28)</f>
        <v/>
      </c>
      <c r="AD28" s="2">
        <f>IF(AC28="","",LN(AC28))</f>
        <v/>
      </c>
      <c r="AE28" s="4" t="n"/>
      <c r="AF28" s="4" t="n"/>
      <c r="AG28" s="4" t="n"/>
      <c r="AH28" s="4" t="n"/>
    </row>
    <row r="29">
      <c r="A29" s="2" t="n">
        <v>28</v>
      </c>
      <c r="B29" s="2" t="inlineStr">
        <is>
          <t>D86-09</t>
        </is>
      </c>
      <c r="C29" s="2" t="n">
        <v>1</v>
      </c>
      <c r="D29" s="2" t="inlineStr">
        <is>
          <t>Shared</t>
        </is>
      </c>
      <c r="E29" s="2" t="inlineStr">
        <is>
          <t>D86</t>
        </is>
      </c>
      <c r="F29" s="2" t="inlineStr">
        <is>
          <t>Y</t>
        </is>
      </c>
      <c r="G29" s="2" t="n">
        <v>86</v>
      </c>
      <c r="H29" s="2" t="inlineStr">
        <is>
          <t>86um_Current_Mid</t>
        </is>
      </c>
      <c r="I29" s="2" t="inlineStr">
        <is>
          <t>P2_RF</t>
        </is>
      </c>
      <c r="J29" s="2" t="inlineStr">
        <is>
          <t>F high axial</t>
        </is>
      </c>
      <c r="K29" s="2" t="inlineStr">
        <is>
          <t>Axial_F_H</t>
        </is>
      </c>
      <c r="L29" s="2" t="inlineStr">
        <is>
          <t>Single</t>
        </is>
      </c>
      <c r="M29" s="2" t="n">
        <v>60.5</v>
      </c>
      <c r="N29" s="2" t="n">
        <v>0.8</v>
      </c>
      <c r="O29" s="2" t="n">
        <v>128</v>
      </c>
      <c r="P29" s="2" t="n">
        <v>4</v>
      </c>
      <c r="Q29" s="2" t="n">
        <v>0</v>
      </c>
      <c r="R29" s="2" t="n">
        <v>0</v>
      </c>
      <c r="S29" s="2" t="n">
        <v>1</v>
      </c>
      <c r="T29" s="2" t="n">
        <v>0</v>
      </c>
      <c r="U29" s="2">
        <f>LN(G29)</f>
        <v/>
      </c>
      <c r="V29" s="2" t="inlineStr">
        <is>
          <t>Y</t>
        </is>
      </c>
      <c r="W29" s="2" t="inlineStr">
        <is>
          <t>Y</t>
        </is>
      </c>
      <c r="X29" s="2" t="inlineStr">
        <is>
          <t>N</t>
        </is>
      </c>
      <c r="Y29" s="2" t="inlineStr">
        <is>
          <t>Normal</t>
        </is>
      </c>
      <c r="Z29" s="2" t="inlineStr">
        <is>
          <t>F128 high 조건. noise/직경 bias 영향 확인</t>
        </is>
      </c>
      <c r="AA29" s="2" t="n"/>
      <c r="AB29" s="4" t="n"/>
      <c r="AC29" s="2">
        <f>IF(AB29="","",AB29/G29)</f>
        <v/>
      </c>
      <c r="AD29" s="2">
        <f>IF(AC29="","",LN(AC29))</f>
        <v/>
      </c>
      <c r="AE29" s="4" t="n"/>
      <c r="AF29" s="4" t="n"/>
      <c r="AG29" s="4" t="n"/>
      <c r="AH29" s="4" t="n"/>
    </row>
    <row r="30">
      <c r="A30" s="2" t="n">
        <v>29</v>
      </c>
      <c r="B30" s="2" t="inlineStr">
        <is>
          <t>D86-10</t>
        </is>
      </c>
      <c r="C30" s="2" t="n">
        <v>1</v>
      </c>
      <c r="D30" s="2" t="inlineStr">
        <is>
          <t>Shared</t>
        </is>
      </c>
      <c r="E30" s="2" t="inlineStr">
        <is>
          <t>D86</t>
        </is>
      </c>
      <c r="F30" s="2" t="inlineStr">
        <is>
          <t>Y</t>
        </is>
      </c>
      <c r="G30" s="2" t="n">
        <v>86</v>
      </c>
      <c r="H30" s="2" t="inlineStr">
        <is>
          <t>86um_Current_Mid</t>
        </is>
      </c>
      <c r="I30" s="2" t="inlineStr">
        <is>
          <t>P3_W</t>
        </is>
      </c>
      <c r="J30" s="2" t="inlineStr">
        <is>
          <t>W high axial</t>
        </is>
      </c>
      <c r="K30" s="2" t="inlineStr">
        <is>
          <t>Axial_W_H</t>
        </is>
      </c>
      <c r="L30" s="2" t="inlineStr">
        <is>
          <t>Single</t>
        </is>
      </c>
      <c r="M30" s="2" t="n">
        <v>60.5</v>
      </c>
      <c r="N30" s="2" t="n">
        <v>0.8</v>
      </c>
      <c r="O30" s="2" t="n">
        <v>64</v>
      </c>
      <c r="P30" s="2" t="n">
        <v>6</v>
      </c>
      <c r="Q30" s="2" t="n">
        <v>0</v>
      </c>
      <c r="R30" s="2" t="n">
        <v>0</v>
      </c>
      <c r="S30" s="2" t="n">
        <v>0</v>
      </c>
      <c r="T30" s="2" t="n">
        <v>1</v>
      </c>
      <c r="U30" s="2">
        <f>LN(G30)</f>
        <v/>
      </c>
      <c r="V30" s="2" t="inlineStr">
        <is>
          <t>Y</t>
        </is>
      </c>
      <c r="W30" s="2" t="inlineStr">
        <is>
          <t>Y</t>
        </is>
      </c>
      <c r="X30" s="2" t="inlineStr">
        <is>
          <t>N</t>
        </is>
      </c>
      <c r="Y30" s="2" t="inlineStr">
        <is>
          <t>Normal</t>
        </is>
      </c>
      <c r="Z30" s="2" t="inlineStr">
        <is>
          <t>W 상승 효과 확인</t>
        </is>
      </c>
      <c r="AA30" s="2" t="n"/>
      <c r="AB30" s="4" t="n"/>
      <c r="AC30" s="2">
        <f>IF(AB30="","",AB30/G30)</f>
        <v/>
      </c>
      <c r="AD30" s="2">
        <f>IF(AC30="","",LN(AC30))</f>
        <v/>
      </c>
      <c r="AE30" s="4" t="n"/>
      <c r="AF30" s="4" t="n"/>
      <c r="AG30" s="4" t="n"/>
      <c r="AH30" s="4" t="n"/>
    </row>
    <row r="31">
      <c r="A31" s="2" t="n">
        <v>30</v>
      </c>
      <c r="B31" s="2" t="inlineStr">
        <is>
          <t>D86-11</t>
        </is>
      </c>
      <c r="C31" s="2" t="n">
        <v>1</v>
      </c>
      <c r="D31" s="2" t="inlineStr">
        <is>
          <t>Shared</t>
        </is>
      </c>
      <c r="E31" s="2" t="inlineStr">
        <is>
          <t>D86</t>
        </is>
      </c>
      <c r="F31" s="2" t="inlineStr">
        <is>
          <t>Y</t>
        </is>
      </c>
      <c r="G31" s="2" t="n">
        <v>86</v>
      </c>
      <c r="H31" s="2" t="inlineStr">
        <is>
          <t>86um_Current_Mid</t>
        </is>
      </c>
      <c r="I31" s="2" t="inlineStr">
        <is>
          <t>P3_W</t>
        </is>
      </c>
      <c r="J31" s="2" t="inlineStr">
        <is>
          <t>R high W high guard</t>
        </is>
      </c>
      <c r="K31" s="2" t="inlineStr">
        <is>
          <t>R_W_guard</t>
        </is>
      </c>
      <c r="L31" s="2" t="inlineStr">
        <is>
          <t>Single</t>
        </is>
      </c>
      <c r="M31" s="2" t="n">
        <v>60.5</v>
      </c>
      <c r="N31" s="2" t="n">
        <v>1.5</v>
      </c>
      <c r="O31" s="2" t="n">
        <v>64</v>
      </c>
      <c r="P31" s="2" t="n">
        <v>6</v>
      </c>
      <c r="Q31" s="2" t="n">
        <v>0</v>
      </c>
      <c r="R31" s="2" t="n">
        <v>1</v>
      </c>
      <c r="S31" s="2" t="n">
        <v>0</v>
      </c>
      <c r="T31" s="2" t="n">
        <v>1</v>
      </c>
      <c r="U31" s="2">
        <f>LN(G31)</f>
        <v/>
      </c>
      <c r="V31" s="2" t="inlineStr">
        <is>
          <t>Y</t>
        </is>
      </c>
      <c r="W31" s="2" t="inlineStr">
        <is>
          <t>Y</t>
        </is>
      </c>
      <c r="X31" s="2" t="inlineStr">
        <is>
          <t>N</t>
        </is>
      </c>
      <c r="Y31" s="2" t="inlineStr">
        <is>
          <t>Normal</t>
        </is>
      </c>
      <c r="Z31" s="2" t="inlineStr">
        <is>
          <t>coarse R를 W 상승으로 보완 가능한지 확인</t>
        </is>
      </c>
      <c r="AA31" s="2" t="n"/>
      <c r="AB31" s="4" t="n"/>
      <c r="AC31" s="2">
        <f>IF(AB31="","",AB31/G31)</f>
        <v/>
      </c>
      <c r="AD31" s="2">
        <f>IF(AC31="","",LN(AC31))</f>
        <v/>
      </c>
      <c r="AE31" s="4" t="n"/>
      <c r="AF31" s="4" t="n"/>
      <c r="AG31" s="4" t="n"/>
      <c r="AH31" s="4" t="n"/>
    </row>
    <row r="32">
      <c r="A32" s="2" t="n">
        <v>31</v>
      </c>
      <c r="B32" s="2" t="inlineStr">
        <is>
          <t>D86-12</t>
        </is>
      </c>
      <c r="C32" s="2" t="n">
        <v>1</v>
      </c>
      <c r="D32" s="2" t="inlineStr">
        <is>
          <t>Shared</t>
        </is>
      </c>
      <c r="E32" s="2" t="inlineStr">
        <is>
          <t>D86</t>
        </is>
      </c>
      <c r="F32" s="2" t="inlineStr">
        <is>
          <t>Y</t>
        </is>
      </c>
      <c r="G32" s="2" t="n">
        <v>86</v>
      </c>
      <c r="H32" s="2" t="inlineStr">
        <is>
          <t>86um_Current_Mid</t>
        </is>
      </c>
      <c r="I32" s="2" t="inlineStr">
        <is>
          <t>P2P3_2FI</t>
        </is>
      </c>
      <c r="J32" s="2" t="inlineStr">
        <is>
          <t>Half-fraction interaction</t>
        </is>
      </c>
      <c r="K32" s="2" t="inlineStr">
        <is>
          <t>Interaction</t>
        </is>
      </c>
      <c r="L32" s="2" t="inlineStr">
        <is>
          <t>Single</t>
        </is>
      </c>
      <c r="M32" s="2" t="n">
        <v>58.5</v>
      </c>
      <c r="N32" s="2" t="n">
        <v>0.5</v>
      </c>
      <c r="O32" s="2" t="n">
        <v>32</v>
      </c>
      <c r="P32" s="2" t="n">
        <v>4</v>
      </c>
      <c r="Q32" s="2" t="n">
        <v>-1</v>
      </c>
      <c r="R32" s="2" t="n">
        <v>-1</v>
      </c>
      <c r="S32" s="2" t="n">
        <v>-1</v>
      </c>
      <c r="T32" s="2" t="n">
        <v>-1</v>
      </c>
      <c r="U32" s="2">
        <f>LN(G32)</f>
        <v/>
      </c>
      <c r="V32" s="2" t="inlineStr">
        <is>
          <t>Y</t>
        </is>
      </c>
      <c r="W32" s="2" t="inlineStr">
        <is>
          <t>Y</t>
        </is>
      </c>
      <c r="X32" s="2" t="inlineStr">
        <is>
          <t>N</t>
        </is>
      </c>
      <c r="Y32" s="2" t="inlineStr">
        <is>
          <t>Normal</t>
        </is>
      </c>
      <c r="Z32" s="2" t="inlineStr">
        <is>
          <t>D86 kV/R/F/W 교호작용 점. 2^(4-1) 구조. F 하한은 32</t>
        </is>
      </c>
      <c r="AA32" s="2" t="n"/>
      <c r="AB32" s="4" t="n"/>
      <c r="AC32" s="2">
        <f>IF(AB32="","",AB32/G32)</f>
        <v/>
      </c>
      <c r="AD32" s="2">
        <f>IF(AC32="","",LN(AC32))</f>
        <v/>
      </c>
      <c r="AE32" s="4" t="n"/>
      <c r="AF32" s="4" t="n"/>
      <c r="AG32" s="4" t="n"/>
      <c r="AH32" s="4" t="n"/>
    </row>
    <row r="33">
      <c r="A33" s="2" t="n">
        <v>32</v>
      </c>
      <c r="B33" s="2" t="inlineStr">
        <is>
          <t>D86-13</t>
        </is>
      </c>
      <c r="C33" s="2" t="n">
        <v>1</v>
      </c>
      <c r="D33" s="2" t="inlineStr">
        <is>
          <t>Shared</t>
        </is>
      </c>
      <c r="E33" s="2" t="inlineStr">
        <is>
          <t>D86</t>
        </is>
      </c>
      <c r="F33" s="2" t="inlineStr">
        <is>
          <t>Y</t>
        </is>
      </c>
      <c r="G33" s="2" t="n">
        <v>86</v>
      </c>
      <c r="H33" s="2" t="inlineStr">
        <is>
          <t>86um_Current_Mid</t>
        </is>
      </c>
      <c r="I33" s="2" t="inlineStr">
        <is>
          <t>P2P3_2FI</t>
        </is>
      </c>
      <c r="J33" s="2" t="inlineStr">
        <is>
          <t>Half-fraction interaction</t>
        </is>
      </c>
      <c r="K33" s="2" t="inlineStr">
        <is>
          <t>Interaction</t>
        </is>
      </c>
      <c r="L33" s="2" t="inlineStr">
        <is>
          <t>Single</t>
        </is>
      </c>
      <c r="M33" s="2" t="n">
        <v>58.5</v>
      </c>
      <c r="N33" s="2" t="n">
        <v>0.5</v>
      </c>
      <c r="O33" s="2" t="n">
        <v>128</v>
      </c>
      <c r="P33" s="2" t="n">
        <v>6</v>
      </c>
      <c r="Q33" s="2" t="n">
        <v>-1</v>
      </c>
      <c r="R33" s="2" t="n">
        <v>-1</v>
      </c>
      <c r="S33" s="2" t="n">
        <v>1</v>
      </c>
      <c r="T33" s="2" t="n">
        <v>1</v>
      </c>
      <c r="U33" s="2">
        <f>LN(G33)</f>
        <v/>
      </c>
      <c r="V33" s="2" t="inlineStr">
        <is>
          <t>Y</t>
        </is>
      </c>
      <c r="W33" s="2" t="inlineStr">
        <is>
          <t>Y</t>
        </is>
      </c>
      <c r="X33" s="2" t="inlineStr">
        <is>
          <t>N</t>
        </is>
      </c>
      <c r="Y33" s="2" t="inlineStr">
        <is>
          <t>Normal</t>
        </is>
      </c>
      <c r="Z33" s="2" t="inlineStr">
        <is>
          <t>D86 kV/R/F/W 교호작용 점. 2^(4-1) 구조. F 하한은 32</t>
        </is>
      </c>
      <c r="AA33" s="2" t="n"/>
      <c r="AB33" s="4" t="n"/>
      <c r="AC33" s="2">
        <f>IF(AB33="","",AB33/G33)</f>
        <v/>
      </c>
      <c r="AD33" s="2">
        <f>IF(AC33="","",LN(AC33))</f>
        <v/>
      </c>
      <c r="AE33" s="4" t="n"/>
      <c r="AF33" s="4" t="n"/>
      <c r="AG33" s="4" t="n"/>
      <c r="AH33" s="4" t="n"/>
    </row>
    <row r="34">
      <c r="A34" s="2" t="n">
        <v>33</v>
      </c>
      <c r="B34" s="2" t="inlineStr">
        <is>
          <t>D86-14</t>
        </is>
      </c>
      <c r="C34" s="2" t="n">
        <v>1</v>
      </c>
      <c r="D34" s="2" t="inlineStr">
        <is>
          <t>Shared</t>
        </is>
      </c>
      <c r="E34" s="2" t="inlineStr">
        <is>
          <t>D86</t>
        </is>
      </c>
      <c r="F34" s="2" t="inlineStr">
        <is>
          <t>Y</t>
        </is>
      </c>
      <c r="G34" s="2" t="n">
        <v>86</v>
      </c>
      <c r="H34" s="2" t="inlineStr">
        <is>
          <t>86um_Current_Mid</t>
        </is>
      </c>
      <c r="I34" s="2" t="inlineStr">
        <is>
          <t>P2P3_2FI</t>
        </is>
      </c>
      <c r="J34" s="2" t="inlineStr">
        <is>
          <t>Half-fraction interaction</t>
        </is>
      </c>
      <c r="K34" s="2" t="inlineStr">
        <is>
          <t>Interaction</t>
        </is>
      </c>
      <c r="L34" s="2" t="inlineStr">
        <is>
          <t>Single</t>
        </is>
      </c>
      <c r="M34" s="2" t="n">
        <v>58.5</v>
      </c>
      <c r="N34" s="2" t="n">
        <v>1.5</v>
      </c>
      <c r="O34" s="2" t="n">
        <v>32</v>
      </c>
      <c r="P34" s="2" t="n">
        <v>6</v>
      </c>
      <c r="Q34" s="2" t="n">
        <v>-1</v>
      </c>
      <c r="R34" s="2" t="n">
        <v>1</v>
      </c>
      <c r="S34" s="2" t="n">
        <v>-1</v>
      </c>
      <c r="T34" s="2" t="n">
        <v>1</v>
      </c>
      <c r="U34" s="2">
        <f>LN(G34)</f>
        <v/>
      </c>
      <c r="V34" s="2" t="inlineStr">
        <is>
          <t>Y</t>
        </is>
      </c>
      <c r="W34" s="2" t="inlineStr">
        <is>
          <t>Y</t>
        </is>
      </c>
      <c r="X34" s="2" t="inlineStr">
        <is>
          <t>N</t>
        </is>
      </c>
      <c r="Y34" s="2" t="inlineStr">
        <is>
          <t>Normal</t>
        </is>
      </c>
      <c r="Z34" s="2" t="inlineStr">
        <is>
          <t>D86 kV/R/F/W 교호작용 점. 2^(4-1) 구조. F 하한은 32</t>
        </is>
      </c>
      <c r="AA34" s="2" t="n"/>
      <c r="AB34" s="4" t="n"/>
      <c r="AC34" s="2">
        <f>IF(AB34="","",AB34/G34)</f>
        <v/>
      </c>
      <c r="AD34" s="2">
        <f>IF(AC34="","",LN(AC34))</f>
        <v/>
      </c>
      <c r="AE34" s="4" t="n"/>
      <c r="AF34" s="4" t="n"/>
      <c r="AG34" s="4" t="n"/>
      <c r="AH34" s="4" t="n"/>
    </row>
    <row r="35">
      <c r="A35" s="2" t="n">
        <v>34</v>
      </c>
      <c r="B35" s="2" t="inlineStr">
        <is>
          <t>D86-15</t>
        </is>
      </c>
      <c r="C35" s="2" t="n">
        <v>1</v>
      </c>
      <c r="D35" s="2" t="inlineStr">
        <is>
          <t>Shared</t>
        </is>
      </c>
      <c r="E35" s="2" t="inlineStr">
        <is>
          <t>D86</t>
        </is>
      </c>
      <c r="F35" s="2" t="inlineStr">
        <is>
          <t>Y</t>
        </is>
      </c>
      <c r="G35" s="2" t="n">
        <v>86</v>
      </c>
      <c r="H35" s="2" t="inlineStr">
        <is>
          <t>86um_Current_Mid</t>
        </is>
      </c>
      <c r="I35" s="2" t="inlineStr">
        <is>
          <t>P2P3_2FI</t>
        </is>
      </c>
      <c r="J35" s="2" t="inlineStr">
        <is>
          <t>Half-fraction interaction</t>
        </is>
      </c>
      <c r="K35" s="2" t="inlineStr">
        <is>
          <t>Interaction</t>
        </is>
      </c>
      <c r="L35" s="2" t="inlineStr">
        <is>
          <t>Single</t>
        </is>
      </c>
      <c r="M35" s="2" t="n">
        <v>58.5</v>
      </c>
      <c r="N35" s="2" t="n">
        <v>1.5</v>
      </c>
      <c r="O35" s="2" t="n">
        <v>128</v>
      </c>
      <c r="P35" s="2" t="n">
        <v>4</v>
      </c>
      <c r="Q35" s="2" t="n">
        <v>-1</v>
      </c>
      <c r="R35" s="2" t="n">
        <v>1</v>
      </c>
      <c r="S35" s="2" t="n">
        <v>1</v>
      </c>
      <c r="T35" s="2" t="n">
        <v>-1</v>
      </c>
      <c r="U35" s="2">
        <f>LN(G35)</f>
        <v/>
      </c>
      <c r="V35" s="2" t="inlineStr">
        <is>
          <t>Y</t>
        </is>
      </c>
      <c r="W35" s="2" t="inlineStr">
        <is>
          <t>Y</t>
        </is>
      </c>
      <c r="X35" s="2" t="inlineStr">
        <is>
          <t>N</t>
        </is>
      </c>
      <c r="Y35" s="2" t="inlineStr">
        <is>
          <t>Normal</t>
        </is>
      </c>
      <c r="Z35" s="2" t="inlineStr">
        <is>
          <t>D86 kV/R/F/W 교호작용 점. 2^(4-1) 구조. F 하한은 32</t>
        </is>
      </c>
      <c r="AA35" s="2" t="n"/>
      <c r="AB35" s="4" t="n"/>
      <c r="AC35" s="2">
        <f>IF(AB35="","",AB35/G35)</f>
        <v/>
      </c>
      <c r="AD35" s="2">
        <f>IF(AC35="","",LN(AC35))</f>
        <v/>
      </c>
      <c r="AE35" s="4" t="n"/>
      <c r="AF35" s="4" t="n"/>
      <c r="AG35" s="4" t="n"/>
      <c r="AH35" s="4" t="n"/>
    </row>
    <row r="36">
      <c r="A36" s="2" t="n">
        <v>35</v>
      </c>
      <c r="B36" s="2" t="inlineStr">
        <is>
          <t>D86-16</t>
        </is>
      </c>
      <c r="C36" s="2" t="n">
        <v>1</v>
      </c>
      <c r="D36" s="2" t="inlineStr">
        <is>
          <t>Shared</t>
        </is>
      </c>
      <c r="E36" s="2" t="inlineStr">
        <is>
          <t>D86</t>
        </is>
      </c>
      <c r="F36" s="2" t="inlineStr">
        <is>
          <t>Y</t>
        </is>
      </c>
      <c r="G36" s="2" t="n">
        <v>86</v>
      </c>
      <c r="H36" s="2" t="inlineStr">
        <is>
          <t>86um_Current_Mid</t>
        </is>
      </c>
      <c r="I36" s="2" t="inlineStr">
        <is>
          <t>P2P3_2FI</t>
        </is>
      </c>
      <c r="J36" s="2" t="inlineStr">
        <is>
          <t>Half-fraction interaction</t>
        </is>
      </c>
      <c r="K36" s="2" t="inlineStr">
        <is>
          <t>Interaction</t>
        </is>
      </c>
      <c r="L36" s="2" t="inlineStr">
        <is>
          <t>Single</t>
        </is>
      </c>
      <c r="M36" s="2" t="n">
        <v>62.5</v>
      </c>
      <c r="N36" s="2" t="n">
        <v>0.5</v>
      </c>
      <c r="O36" s="2" t="n">
        <v>32</v>
      </c>
      <c r="P36" s="2" t="n">
        <v>6</v>
      </c>
      <c r="Q36" s="2" t="n">
        <v>1</v>
      </c>
      <c r="R36" s="2" t="n">
        <v>-1</v>
      </c>
      <c r="S36" s="2" t="n">
        <v>-1</v>
      </c>
      <c r="T36" s="2" t="n">
        <v>1</v>
      </c>
      <c r="U36" s="2">
        <f>LN(G36)</f>
        <v/>
      </c>
      <c r="V36" s="2" t="inlineStr">
        <is>
          <t>Y</t>
        </is>
      </c>
      <c r="W36" s="2" t="inlineStr">
        <is>
          <t>Y</t>
        </is>
      </c>
      <c r="X36" s="2" t="inlineStr">
        <is>
          <t>N</t>
        </is>
      </c>
      <c r="Y36" s="2" t="inlineStr">
        <is>
          <t>Normal</t>
        </is>
      </c>
      <c r="Z36" s="2" t="inlineStr">
        <is>
          <t>D86 kV/R/F/W 교호작용 점. 2^(4-1) 구조. F 하한은 32</t>
        </is>
      </c>
      <c r="AA36" s="2" t="n"/>
      <c r="AB36" s="4" t="n"/>
      <c r="AC36" s="2">
        <f>IF(AB36="","",AB36/G36)</f>
        <v/>
      </c>
      <c r="AD36" s="2">
        <f>IF(AC36="","",LN(AC36))</f>
        <v/>
      </c>
      <c r="AE36" s="4" t="n"/>
      <c r="AF36" s="4" t="n"/>
      <c r="AG36" s="4" t="n"/>
      <c r="AH36" s="4" t="n"/>
    </row>
    <row r="37">
      <c r="A37" s="2" t="n">
        <v>36</v>
      </c>
      <c r="B37" s="2" t="inlineStr">
        <is>
          <t>D86-17</t>
        </is>
      </c>
      <c r="C37" s="2" t="n">
        <v>1</v>
      </c>
      <c r="D37" s="2" t="inlineStr">
        <is>
          <t>Shared</t>
        </is>
      </c>
      <c r="E37" s="2" t="inlineStr">
        <is>
          <t>D86</t>
        </is>
      </c>
      <c r="F37" s="2" t="inlineStr">
        <is>
          <t>Y</t>
        </is>
      </c>
      <c r="G37" s="2" t="n">
        <v>86</v>
      </c>
      <c r="H37" s="2" t="inlineStr">
        <is>
          <t>86um_Current_Mid</t>
        </is>
      </c>
      <c r="I37" s="2" t="inlineStr">
        <is>
          <t>P2P3_2FI</t>
        </is>
      </c>
      <c r="J37" s="2" t="inlineStr">
        <is>
          <t>Half-fraction interaction</t>
        </is>
      </c>
      <c r="K37" s="2" t="inlineStr">
        <is>
          <t>Interaction</t>
        </is>
      </c>
      <c r="L37" s="2" t="inlineStr">
        <is>
          <t>Single</t>
        </is>
      </c>
      <c r="M37" s="2" t="n">
        <v>62.5</v>
      </c>
      <c r="N37" s="2" t="n">
        <v>0.5</v>
      </c>
      <c r="O37" s="2" t="n">
        <v>128</v>
      </c>
      <c r="P37" s="2" t="n">
        <v>4</v>
      </c>
      <c r="Q37" s="2" t="n">
        <v>1</v>
      </c>
      <c r="R37" s="2" t="n">
        <v>-1</v>
      </c>
      <c r="S37" s="2" t="n">
        <v>1</v>
      </c>
      <c r="T37" s="2" t="n">
        <v>-1</v>
      </c>
      <c r="U37" s="2">
        <f>LN(G37)</f>
        <v/>
      </c>
      <c r="V37" s="2" t="inlineStr">
        <is>
          <t>Y</t>
        </is>
      </c>
      <c r="W37" s="2" t="inlineStr">
        <is>
          <t>Y</t>
        </is>
      </c>
      <c r="X37" s="2" t="inlineStr">
        <is>
          <t>N</t>
        </is>
      </c>
      <c r="Y37" s="2" t="inlineStr">
        <is>
          <t>Normal</t>
        </is>
      </c>
      <c r="Z37" s="2" t="inlineStr">
        <is>
          <t>D86 kV/R/F/W 교호작용 점. 2^(4-1) 구조. F 하한은 32</t>
        </is>
      </c>
      <c r="AA37" s="2" t="n"/>
      <c r="AB37" s="4" t="n"/>
      <c r="AC37" s="2">
        <f>IF(AB37="","",AB37/G37)</f>
        <v/>
      </c>
      <c r="AD37" s="2">
        <f>IF(AC37="","",LN(AC37))</f>
        <v/>
      </c>
      <c r="AE37" s="4" t="n"/>
      <c r="AF37" s="4" t="n"/>
      <c r="AG37" s="4" t="n"/>
      <c r="AH37" s="4" t="n"/>
    </row>
    <row r="38">
      <c r="A38" s="2" t="n">
        <v>37</v>
      </c>
      <c r="B38" s="2" t="inlineStr">
        <is>
          <t>D86-18</t>
        </is>
      </c>
      <c r="C38" s="2" t="n">
        <v>1</v>
      </c>
      <c r="D38" s="2" t="inlineStr">
        <is>
          <t>Shared</t>
        </is>
      </c>
      <c r="E38" s="2" t="inlineStr">
        <is>
          <t>D86</t>
        </is>
      </c>
      <c r="F38" s="2" t="inlineStr">
        <is>
          <t>Y</t>
        </is>
      </c>
      <c r="G38" s="2" t="n">
        <v>86</v>
      </c>
      <c r="H38" s="2" t="inlineStr">
        <is>
          <t>86um_Current_Mid</t>
        </is>
      </c>
      <c r="I38" s="2" t="inlineStr">
        <is>
          <t>P2P3_2FI</t>
        </is>
      </c>
      <c r="J38" s="2" t="inlineStr">
        <is>
          <t>Half-fraction interaction</t>
        </is>
      </c>
      <c r="K38" s="2" t="inlineStr">
        <is>
          <t>Interaction</t>
        </is>
      </c>
      <c r="L38" s="2" t="inlineStr">
        <is>
          <t>Single</t>
        </is>
      </c>
      <c r="M38" s="2" t="n">
        <v>62.5</v>
      </c>
      <c r="N38" s="2" t="n">
        <v>1.5</v>
      </c>
      <c r="O38" s="2" t="n">
        <v>32</v>
      </c>
      <c r="P38" s="2" t="n">
        <v>4</v>
      </c>
      <c r="Q38" s="2" t="n">
        <v>1</v>
      </c>
      <c r="R38" s="2" t="n">
        <v>1</v>
      </c>
      <c r="S38" s="2" t="n">
        <v>-1</v>
      </c>
      <c r="T38" s="2" t="n">
        <v>-1</v>
      </c>
      <c r="U38" s="2">
        <f>LN(G38)</f>
        <v/>
      </c>
      <c r="V38" s="2" t="inlineStr">
        <is>
          <t>Y</t>
        </is>
      </c>
      <c r="W38" s="2" t="inlineStr">
        <is>
          <t>Y</t>
        </is>
      </c>
      <c r="X38" s="2" t="inlineStr">
        <is>
          <t>N</t>
        </is>
      </c>
      <c r="Y38" s="2" t="inlineStr">
        <is>
          <t>Normal</t>
        </is>
      </c>
      <c r="Z38" s="2" t="inlineStr">
        <is>
          <t>D86 kV/R/F/W 교호작용 점. 2^(4-1) 구조. F 하한은 32</t>
        </is>
      </c>
      <c r="AA38" s="2" t="n"/>
      <c r="AB38" s="4" t="n"/>
      <c r="AC38" s="2">
        <f>IF(AB38="","",AB38/G38)</f>
        <v/>
      </c>
      <c r="AD38" s="2">
        <f>IF(AC38="","",LN(AC38))</f>
        <v/>
      </c>
      <c r="AE38" s="4" t="n"/>
      <c r="AF38" s="4" t="n"/>
      <c r="AG38" s="4" t="n"/>
      <c r="AH38" s="4" t="n"/>
    </row>
    <row r="39">
      <c r="A39" s="2" t="n">
        <v>38</v>
      </c>
      <c r="B39" s="2" t="inlineStr">
        <is>
          <t>D86-19</t>
        </is>
      </c>
      <c r="C39" s="2" t="n">
        <v>1</v>
      </c>
      <c r="D39" s="2" t="inlineStr">
        <is>
          <t>Shared</t>
        </is>
      </c>
      <c r="E39" s="2" t="inlineStr">
        <is>
          <t>D86</t>
        </is>
      </c>
      <c r="F39" s="2" t="inlineStr">
        <is>
          <t>Y</t>
        </is>
      </c>
      <c r="G39" s="2" t="n">
        <v>86</v>
      </c>
      <c r="H39" s="2" t="inlineStr">
        <is>
          <t>86um_Current_Mid</t>
        </is>
      </c>
      <c r="I39" s="2" t="inlineStr">
        <is>
          <t>P2P3_2FI</t>
        </is>
      </c>
      <c r="J39" s="2" t="inlineStr">
        <is>
          <t>Half-fraction interaction</t>
        </is>
      </c>
      <c r="K39" s="2" t="inlineStr">
        <is>
          <t>Interaction</t>
        </is>
      </c>
      <c r="L39" s="2" t="inlineStr">
        <is>
          <t>Single</t>
        </is>
      </c>
      <c r="M39" s="2" t="n">
        <v>62.5</v>
      </c>
      <c r="N39" s="2" t="n">
        <v>1.5</v>
      </c>
      <c r="O39" s="2" t="n">
        <v>128</v>
      </c>
      <c r="P39" s="2" t="n">
        <v>6</v>
      </c>
      <c r="Q39" s="2" t="n">
        <v>1</v>
      </c>
      <c r="R39" s="2" t="n">
        <v>1</v>
      </c>
      <c r="S39" s="2" t="n">
        <v>1</v>
      </c>
      <c r="T39" s="2" t="n">
        <v>1</v>
      </c>
      <c r="U39" s="2">
        <f>LN(G39)</f>
        <v/>
      </c>
      <c r="V39" s="2" t="inlineStr">
        <is>
          <t>Y</t>
        </is>
      </c>
      <c r="W39" s="2" t="inlineStr">
        <is>
          <t>Y</t>
        </is>
      </c>
      <c r="X39" s="2" t="inlineStr">
        <is>
          <t>N</t>
        </is>
      </c>
      <c r="Y39" s="2" t="inlineStr">
        <is>
          <t>Normal</t>
        </is>
      </c>
      <c r="Z39" s="2" t="inlineStr">
        <is>
          <t>D86 kV/R/F/W 교호작용 점. 2^(4-1) 구조. F 하한은 32</t>
        </is>
      </c>
      <c r="AA39" s="2" t="n"/>
      <c r="AB39" s="4" t="n"/>
      <c r="AC39" s="2">
        <f>IF(AB39="","",AB39/G39)</f>
        <v/>
      </c>
      <c r="AD39" s="2">
        <f>IF(AC39="","",LN(AC39))</f>
        <v/>
      </c>
      <c r="AE39" s="4" t="n"/>
      <c r="AF39" s="4" t="n"/>
      <c r="AG39" s="4" t="n"/>
      <c r="AH39" s="4" t="n"/>
    </row>
    <row r="40">
      <c r="A40" s="2" t="n">
        <v>39</v>
      </c>
      <c r="B40" s="2" t="inlineStr">
        <is>
          <t>DHIGH-01</t>
        </is>
      </c>
      <c r="C40" s="2" t="n">
        <v>1</v>
      </c>
      <c r="D40" s="2" t="inlineStr">
        <is>
          <t>Future_Add</t>
        </is>
      </c>
      <c r="E40" s="2" t="inlineStr">
        <is>
          <t>DHIGH</t>
        </is>
      </c>
      <c r="F40" s="2" t="inlineStr">
        <is>
          <t>N</t>
        </is>
      </c>
      <c r="G40" s="2" t="n">
        <v>180</v>
      </c>
      <c r="H40" s="2" t="inlineStr">
        <is>
          <t>HighAnchor_Future_150to180um</t>
        </is>
      </c>
      <c r="I40" s="2" t="inlineStr">
        <is>
          <t>P0_Center</t>
        </is>
      </c>
      <c r="J40" s="2" t="inlineStr">
        <is>
          <t>Center repeat</t>
        </is>
      </c>
      <c r="K40" s="2" t="inlineStr">
        <is>
          <t>Center</t>
        </is>
      </c>
      <c r="L40" s="2" t="inlineStr">
        <is>
          <t>Rep1</t>
        </is>
      </c>
      <c r="M40" s="2" t="n">
        <v>62</v>
      </c>
      <c r="N40" s="2" t="n">
        <v>1.5</v>
      </c>
      <c r="O40" s="2" t="n">
        <v>64</v>
      </c>
      <c r="P40" s="2" t="n">
        <v>4</v>
      </c>
      <c r="Q40" s="2" t="n">
        <v>0</v>
      </c>
      <c r="R40" s="2" t="n">
        <v>0</v>
      </c>
      <c r="S40" s="2" t="n">
        <v>0</v>
      </c>
      <c r="T40" s="2" t="n">
        <v>0</v>
      </c>
      <c r="U40" s="2">
        <f>LN(G40)</f>
        <v/>
      </c>
      <c r="V40" s="2" t="inlineStr">
        <is>
          <t>N</t>
        </is>
      </c>
      <c r="W40" s="2" t="inlineStr">
        <is>
          <t>Y</t>
        </is>
      </c>
      <c r="X40" s="2" t="inlineStr">
        <is>
          <t>Y</t>
        </is>
      </c>
      <c r="Y40" s="2" t="inlineStr">
        <is>
          <t>Normal</t>
        </is>
      </c>
      <c r="Z40" s="2" t="inlineStr">
        <is>
          <t>대구경 anchor 중심 조건 반복. 추후 확보 후 실행</t>
        </is>
      </c>
      <c r="AA40" s="2" t="inlineStr">
        <is>
          <t>미래 추가 런</t>
        </is>
      </c>
      <c r="AB40" s="4" t="n"/>
      <c r="AC40" s="2">
        <f>IF(AB40="","",AB40/G40)</f>
        <v/>
      </c>
      <c r="AD40" s="2">
        <f>IF(AC40="","",LN(AC40))</f>
        <v/>
      </c>
      <c r="AE40" s="4" t="n"/>
      <c r="AF40" s="4" t="n"/>
      <c r="AG40" s="4" t="n"/>
      <c r="AH40" s="4" t="n"/>
    </row>
    <row r="41">
      <c r="A41" s="2" t="n">
        <v>40</v>
      </c>
      <c r="B41" s="2" t="inlineStr">
        <is>
          <t>DHIGH-02</t>
        </is>
      </c>
      <c r="C41" s="2" t="n">
        <v>1</v>
      </c>
      <c r="D41" s="2" t="inlineStr">
        <is>
          <t>Future_Add</t>
        </is>
      </c>
      <c r="E41" s="2" t="inlineStr">
        <is>
          <t>DHIGH</t>
        </is>
      </c>
      <c r="F41" s="2" t="inlineStr">
        <is>
          <t>N</t>
        </is>
      </c>
      <c r="G41" s="2" t="n">
        <v>180</v>
      </c>
      <c r="H41" s="2" t="inlineStr">
        <is>
          <t>HighAnchor_Future_150to180um</t>
        </is>
      </c>
      <c r="I41" s="2" t="inlineStr">
        <is>
          <t>P0_Center</t>
        </is>
      </c>
      <c r="J41" s="2" t="inlineStr">
        <is>
          <t>Center repeat</t>
        </is>
      </c>
      <c r="K41" s="2" t="inlineStr">
        <is>
          <t>Center</t>
        </is>
      </c>
      <c r="L41" s="2" t="inlineStr">
        <is>
          <t>Rep2</t>
        </is>
      </c>
      <c r="M41" s="2" t="n">
        <v>62</v>
      </c>
      <c r="N41" s="2" t="n">
        <v>1.5</v>
      </c>
      <c r="O41" s="2" t="n">
        <v>64</v>
      </c>
      <c r="P41" s="2" t="n">
        <v>4</v>
      </c>
      <c r="Q41" s="2" t="n">
        <v>0</v>
      </c>
      <c r="R41" s="2" t="n">
        <v>0</v>
      </c>
      <c r="S41" s="2" t="n">
        <v>0</v>
      </c>
      <c r="T41" s="2" t="n">
        <v>0</v>
      </c>
      <c r="U41" s="2">
        <f>LN(G41)</f>
        <v/>
      </c>
      <c r="V41" s="2" t="inlineStr">
        <is>
          <t>N</t>
        </is>
      </c>
      <c r="W41" s="2" t="inlineStr">
        <is>
          <t>Y</t>
        </is>
      </c>
      <c r="X41" s="2" t="inlineStr">
        <is>
          <t>Y</t>
        </is>
      </c>
      <c r="Y41" s="2" t="inlineStr">
        <is>
          <t>Normal</t>
        </is>
      </c>
      <c r="Z41" s="2" t="inlineStr">
        <is>
          <t>대구경 anchor 중심 조건 반복. 추후 확보 후 실행</t>
        </is>
      </c>
      <c r="AA41" s="2" t="inlineStr">
        <is>
          <t>미래 추가 런</t>
        </is>
      </c>
      <c r="AB41" s="4" t="n"/>
      <c r="AC41" s="2">
        <f>IF(AB41="","",AB41/G41)</f>
        <v/>
      </c>
      <c r="AD41" s="2">
        <f>IF(AC41="","",LN(AC41))</f>
        <v/>
      </c>
      <c r="AE41" s="4" t="n"/>
      <c r="AF41" s="4" t="n"/>
      <c r="AG41" s="4" t="n"/>
      <c r="AH41" s="4" t="n"/>
    </row>
    <row r="42">
      <c r="A42" s="2" t="n">
        <v>41</v>
      </c>
      <c r="B42" s="2" t="inlineStr">
        <is>
          <t>DHIGH-03</t>
        </is>
      </c>
      <c r="C42" s="2" t="n">
        <v>1</v>
      </c>
      <c r="D42" s="2" t="inlineStr">
        <is>
          <t>Future_Add</t>
        </is>
      </c>
      <c r="E42" s="2" t="inlineStr">
        <is>
          <t>DHIGH</t>
        </is>
      </c>
      <c r="F42" s="2" t="inlineStr">
        <is>
          <t>N</t>
        </is>
      </c>
      <c r="G42" s="2" t="n">
        <v>180</v>
      </c>
      <c r="H42" s="2" t="inlineStr">
        <is>
          <t>HighAnchor_Future_150to180um</t>
        </is>
      </c>
      <c r="I42" s="2" t="inlineStr">
        <is>
          <t>P0_Center</t>
        </is>
      </c>
      <c r="J42" s="2" t="inlineStr">
        <is>
          <t>Center repeat</t>
        </is>
      </c>
      <c r="K42" s="2" t="inlineStr">
        <is>
          <t>Center</t>
        </is>
      </c>
      <c r="L42" s="2" t="inlineStr">
        <is>
          <t>Rep3</t>
        </is>
      </c>
      <c r="M42" s="2" t="n">
        <v>62</v>
      </c>
      <c r="N42" s="2" t="n">
        <v>1.5</v>
      </c>
      <c r="O42" s="2" t="n">
        <v>64</v>
      </c>
      <c r="P42" s="2" t="n">
        <v>4</v>
      </c>
      <c r="Q42" s="2" t="n">
        <v>0</v>
      </c>
      <c r="R42" s="2" t="n">
        <v>0</v>
      </c>
      <c r="S42" s="2" t="n">
        <v>0</v>
      </c>
      <c r="T42" s="2" t="n">
        <v>0</v>
      </c>
      <c r="U42" s="2">
        <f>LN(G42)</f>
        <v/>
      </c>
      <c r="V42" s="2" t="inlineStr">
        <is>
          <t>N</t>
        </is>
      </c>
      <c r="W42" s="2" t="inlineStr">
        <is>
          <t>Y</t>
        </is>
      </c>
      <c r="X42" s="2" t="inlineStr">
        <is>
          <t>Y</t>
        </is>
      </c>
      <c r="Y42" s="2" t="inlineStr">
        <is>
          <t>Normal</t>
        </is>
      </c>
      <c r="Z42" s="2" t="inlineStr">
        <is>
          <t>대구경 anchor 중심 조건 반복. 추후 확보 후 실행</t>
        </is>
      </c>
      <c r="AA42" s="2" t="inlineStr">
        <is>
          <t>미래 추가 런</t>
        </is>
      </c>
      <c r="AB42" s="4" t="n"/>
      <c r="AC42" s="2">
        <f>IF(AB42="","",AB42/G42)</f>
        <v/>
      </c>
      <c r="AD42" s="2">
        <f>IF(AC42="","",LN(AC42))</f>
        <v/>
      </c>
      <c r="AE42" s="4" t="n"/>
      <c r="AF42" s="4" t="n"/>
      <c r="AG42" s="4" t="n"/>
      <c r="AH42" s="4" t="n"/>
    </row>
    <row r="43">
      <c r="A43" s="2" t="n">
        <v>42</v>
      </c>
      <c r="B43" s="2" t="inlineStr">
        <is>
          <t>DHIGH-04</t>
        </is>
      </c>
      <c r="C43" s="2" t="n">
        <v>1</v>
      </c>
      <c r="D43" s="2" t="inlineStr">
        <is>
          <t>Future_Add</t>
        </is>
      </c>
      <c r="E43" s="2" t="inlineStr">
        <is>
          <t>DHIGH</t>
        </is>
      </c>
      <c r="F43" s="2" t="inlineStr">
        <is>
          <t>N</t>
        </is>
      </c>
      <c r="G43" s="2" t="n">
        <v>180</v>
      </c>
      <c r="H43" s="2" t="inlineStr">
        <is>
          <t>HighAnchor_Future_150to180um</t>
        </is>
      </c>
      <c r="I43" s="2" t="inlineStr">
        <is>
          <t>P1_kV</t>
        </is>
      </c>
      <c r="J43" s="2" t="inlineStr">
        <is>
          <t>kV low axial</t>
        </is>
      </c>
      <c r="K43" s="2" t="inlineStr">
        <is>
          <t>Axial_kV_L</t>
        </is>
      </c>
      <c r="L43" s="2" t="inlineStr">
        <is>
          <t>Single</t>
        </is>
      </c>
      <c r="M43" s="2" t="n">
        <v>60</v>
      </c>
      <c r="N43" s="2" t="n">
        <v>1.5</v>
      </c>
      <c r="O43" s="2" t="n">
        <v>64</v>
      </c>
      <c r="P43" s="2" t="n">
        <v>4</v>
      </c>
      <c r="Q43" s="2" t="n">
        <v>-1</v>
      </c>
      <c r="R43" s="2" t="n">
        <v>0</v>
      </c>
      <c r="S43" s="2" t="n">
        <v>0</v>
      </c>
      <c r="T43" s="2" t="n">
        <v>0</v>
      </c>
      <c r="U43" s="2">
        <f>LN(G43)</f>
        <v/>
      </c>
      <c r="V43" s="2" t="inlineStr">
        <is>
          <t>N</t>
        </is>
      </c>
      <c r="W43" s="2" t="inlineStr">
        <is>
          <t>Y</t>
        </is>
      </c>
      <c r="X43" s="2" t="inlineStr">
        <is>
          <t>Y</t>
        </is>
      </c>
      <c r="Y43" s="2" t="inlineStr">
        <is>
          <t>Normal</t>
        </is>
      </c>
      <c r="Z43" s="2" t="inlineStr">
        <is>
          <t>대구경 kV low 확인</t>
        </is>
      </c>
      <c r="AA43" s="2" t="inlineStr">
        <is>
          <t>미래 추가 런</t>
        </is>
      </c>
      <c r="AB43" s="4" t="n"/>
      <c r="AC43" s="2">
        <f>IF(AB43="","",AB43/G43)</f>
        <v/>
      </c>
      <c r="AD43" s="2">
        <f>IF(AC43="","",LN(AC43))</f>
        <v/>
      </c>
      <c r="AE43" s="4" t="n"/>
      <c r="AF43" s="4" t="n"/>
      <c r="AG43" s="4" t="n"/>
      <c r="AH43" s="4" t="n"/>
    </row>
    <row r="44">
      <c r="A44" s="2" t="n">
        <v>43</v>
      </c>
      <c r="B44" s="2" t="inlineStr">
        <is>
          <t>DHIGH-05</t>
        </is>
      </c>
      <c r="C44" s="2" t="n">
        <v>1</v>
      </c>
      <c r="D44" s="2" t="inlineStr">
        <is>
          <t>Future_Add</t>
        </is>
      </c>
      <c r="E44" s="2" t="inlineStr">
        <is>
          <t>DHIGH</t>
        </is>
      </c>
      <c r="F44" s="2" t="inlineStr">
        <is>
          <t>N</t>
        </is>
      </c>
      <c r="G44" s="2" t="n">
        <v>180</v>
      </c>
      <c r="H44" s="2" t="inlineStr">
        <is>
          <t>HighAnchor_Future_150to180um</t>
        </is>
      </c>
      <c r="I44" s="2" t="inlineStr">
        <is>
          <t>P1_kV</t>
        </is>
      </c>
      <c r="J44" s="2" t="inlineStr">
        <is>
          <t>kV high axial</t>
        </is>
      </c>
      <c r="K44" s="2" t="inlineStr">
        <is>
          <t>Axial_kV_H</t>
        </is>
      </c>
      <c r="L44" s="2" t="inlineStr">
        <is>
          <t>Single</t>
        </is>
      </c>
      <c r="M44" s="2" t="n">
        <v>64</v>
      </c>
      <c r="N44" s="2" t="n">
        <v>1.5</v>
      </c>
      <c r="O44" s="2" t="n">
        <v>64</v>
      </c>
      <c r="P44" s="2" t="n">
        <v>4</v>
      </c>
      <c r="Q44" s="2" t="n">
        <v>1</v>
      </c>
      <c r="R44" s="2" t="n">
        <v>0</v>
      </c>
      <c r="S44" s="2" t="n">
        <v>0</v>
      </c>
      <c r="T44" s="2" t="n">
        <v>0</v>
      </c>
      <c r="U44" s="2">
        <f>LN(G44)</f>
        <v/>
      </c>
      <c r="V44" s="2" t="inlineStr">
        <is>
          <t>N</t>
        </is>
      </c>
      <c r="W44" s="2" t="inlineStr">
        <is>
          <t>Y</t>
        </is>
      </c>
      <c r="X44" s="2" t="inlineStr">
        <is>
          <t>Y</t>
        </is>
      </c>
      <c r="Y44" s="2" t="inlineStr">
        <is>
          <t>Normal</t>
        </is>
      </c>
      <c r="Z44" s="2" t="inlineStr">
        <is>
          <t>대구경 kV high 확인</t>
        </is>
      </c>
      <c r="AA44" s="2" t="inlineStr">
        <is>
          <t>미래 추가 런</t>
        </is>
      </c>
      <c r="AB44" s="4" t="n"/>
      <c r="AC44" s="2">
        <f>IF(AB44="","",AB44/G44)</f>
        <v/>
      </c>
      <c r="AD44" s="2">
        <f>IF(AC44="","",LN(AC44))</f>
        <v/>
      </c>
      <c r="AE44" s="4" t="n"/>
      <c r="AF44" s="4" t="n"/>
      <c r="AG44" s="4" t="n"/>
      <c r="AH44" s="4" t="n"/>
    </row>
    <row r="45">
      <c r="A45" s="2" t="n">
        <v>44</v>
      </c>
      <c r="B45" s="2" t="inlineStr">
        <is>
          <t>DHIGH-06</t>
        </is>
      </c>
      <c r="C45" s="2" t="n">
        <v>1</v>
      </c>
      <c r="D45" s="2" t="inlineStr">
        <is>
          <t>Future_Add</t>
        </is>
      </c>
      <c r="E45" s="2" t="inlineStr">
        <is>
          <t>DHIGH</t>
        </is>
      </c>
      <c r="F45" s="2" t="inlineStr">
        <is>
          <t>N</t>
        </is>
      </c>
      <c r="G45" s="2" t="n">
        <v>180</v>
      </c>
      <c r="H45" s="2" t="inlineStr">
        <is>
          <t>HighAnchor_Future_150to180um</t>
        </is>
      </c>
      <c r="I45" s="2" t="inlineStr">
        <is>
          <t>P2_RF</t>
        </is>
      </c>
      <c r="J45" s="2" t="inlineStr">
        <is>
          <t>R low axial</t>
        </is>
      </c>
      <c r="K45" s="2" t="inlineStr">
        <is>
          <t>Axial_R_L</t>
        </is>
      </c>
      <c r="L45" s="2" t="inlineStr">
        <is>
          <t>Single</t>
        </is>
      </c>
      <c r="M45" s="2" t="n">
        <v>62</v>
      </c>
      <c r="N45" s="2" t="n">
        <v>1</v>
      </c>
      <c r="O45" s="2" t="n">
        <v>64</v>
      </c>
      <c r="P45" s="2" t="n">
        <v>4</v>
      </c>
      <c r="Q45" s="2" t="n">
        <v>0</v>
      </c>
      <c r="R45" s="2" t="n">
        <v>-1</v>
      </c>
      <c r="S45" s="2" t="n">
        <v>0</v>
      </c>
      <c r="T45" s="2" t="n">
        <v>0</v>
      </c>
      <c r="U45" s="2">
        <f>LN(G45)</f>
        <v/>
      </c>
      <c r="V45" s="2" t="inlineStr">
        <is>
          <t>N</t>
        </is>
      </c>
      <c r="W45" s="2" t="inlineStr">
        <is>
          <t>Y</t>
        </is>
      </c>
      <c r="X45" s="2" t="inlineStr">
        <is>
          <t>Y</t>
        </is>
      </c>
      <c r="Y45" s="2" t="inlineStr">
        <is>
          <t>Normal</t>
        </is>
      </c>
      <c r="Z45" s="2" t="inlineStr">
        <is>
          <t>대구경 fine R 영향 확인</t>
        </is>
      </c>
      <c r="AA45" s="2" t="inlineStr">
        <is>
          <t>미래 추가 런</t>
        </is>
      </c>
      <c r="AB45" s="4" t="n"/>
      <c r="AC45" s="2">
        <f>IF(AB45="","",AB45/G45)</f>
        <v/>
      </c>
      <c r="AD45" s="2">
        <f>IF(AC45="","",LN(AC45))</f>
        <v/>
      </c>
      <c r="AE45" s="4" t="n"/>
      <c r="AF45" s="4" t="n"/>
      <c r="AG45" s="4" t="n"/>
      <c r="AH45" s="4" t="n"/>
    </row>
    <row r="46">
      <c r="A46" s="2" t="n">
        <v>45</v>
      </c>
      <c r="B46" s="2" t="inlineStr">
        <is>
          <t>DHIGH-07</t>
        </is>
      </c>
      <c r="C46" s="2" t="n">
        <v>1</v>
      </c>
      <c r="D46" s="2" t="inlineStr">
        <is>
          <t>Future_Add</t>
        </is>
      </c>
      <c r="E46" s="2" t="inlineStr">
        <is>
          <t>DHIGH</t>
        </is>
      </c>
      <c r="F46" s="2" t="inlineStr">
        <is>
          <t>N</t>
        </is>
      </c>
      <c r="G46" s="2" t="n">
        <v>180</v>
      </c>
      <c r="H46" s="2" t="inlineStr">
        <is>
          <t>HighAnchor_Future_150to180um</t>
        </is>
      </c>
      <c r="I46" s="2" t="inlineStr">
        <is>
          <t>P2_RF</t>
        </is>
      </c>
      <c r="J46" s="2" t="inlineStr">
        <is>
          <t>R high axial</t>
        </is>
      </c>
      <c r="K46" s="2" t="inlineStr">
        <is>
          <t>Axial_R_H</t>
        </is>
      </c>
      <c r="L46" s="2" t="inlineStr">
        <is>
          <t>Single</t>
        </is>
      </c>
      <c r="M46" s="2" t="n">
        <v>62</v>
      </c>
      <c r="N46" s="2" t="n">
        <v>3</v>
      </c>
      <c r="O46" s="2" t="n">
        <v>64</v>
      </c>
      <c r="P46" s="2" t="n">
        <v>4</v>
      </c>
      <c r="Q46" s="2" t="n">
        <v>0</v>
      </c>
      <c r="R46" s="2" t="n">
        <v>1</v>
      </c>
      <c r="S46" s="2" t="n">
        <v>0</v>
      </c>
      <c r="T46" s="2" t="n">
        <v>0</v>
      </c>
      <c r="U46" s="2">
        <f>LN(G46)</f>
        <v/>
      </c>
      <c r="V46" s="2" t="inlineStr">
        <is>
          <t>N</t>
        </is>
      </c>
      <c r="W46" s="2" t="inlineStr">
        <is>
          <t>Y</t>
        </is>
      </c>
      <c r="X46" s="2" t="inlineStr">
        <is>
          <t>Y</t>
        </is>
      </c>
      <c r="Y46" s="2" t="inlineStr">
        <is>
          <t>Normal</t>
        </is>
      </c>
      <c r="Z46" s="2" t="inlineStr">
        <is>
          <t>대구경 coarse R 영향 확인</t>
        </is>
      </c>
      <c r="AA46" s="2" t="inlineStr">
        <is>
          <t>미래 추가 런</t>
        </is>
      </c>
      <c r="AB46" s="4" t="n"/>
      <c r="AC46" s="2">
        <f>IF(AB46="","",AB46/G46)</f>
        <v/>
      </c>
      <c r="AD46" s="2">
        <f>IF(AC46="","",LN(AC46))</f>
        <v/>
      </c>
      <c r="AE46" s="4" t="n"/>
      <c r="AF46" s="4" t="n"/>
      <c r="AG46" s="4" t="n"/>
      <c r="AH46" s="4" t="n"/>
    </row>
    <row r="47">
      <c r="A47" s="2" t="n">
        <v>46</v>
      </c>
      <c r="B47" s="2" t="inlineStr">
        <is>
          <t>DHIGH-08</t>
        </is>
      </c>
      <c r="C47" s="2" t="n">
        <v>1</v>
      </c>
      <c r="D47" s="2" t="inlineStr">
        <is>
          <t>Future_Add</t>
        </is>
      </c>
      <c r="E47" s="2" t="inlineStr">
        <is>
          <t>DHIGH</t>
        </is>
      </c>
      <c r="F47" s="2" t="inlineStr">
        <is>
          <t>N</t>
        </is>
      </c>
      <c r="G47" s="2" t="n">
        <v>180</v>
      </c>
      <c r="H47" s="2" t="inlineStr">
        <is>
          <t>HighAnchor_Future_150to180um</t>
        </is>
      </c>
      <c r="I47" s="2" t="inlineStr">
        <is>
          <t>P2_RF</t>
        </is>
      </c>
      <c r="J47" s="2" t="inlineStr">
        <is>
          <t>F low axial</t>
        </is>
      </c>
      <c r="K47" s="2" t="inlineStr">
        <is>
          <t>Axial_F_L</t>
        </is>
      </c>
      <c r="L47" s="2" t="inlineStr">
        <is>
          <t>Single</t>
        </is>
      </c>
      <c r="M47" s="2" t="n">
        <v>62</v>
      </c>
      <c r="N47" s="2" t="n">
        <v>1.5</v>
      </c>
      <c r="O47" s="2" t="n">
        <v>32</v>
      </c>
      <c r="P47" s="2" t="n">
        <v>4</v>
      </c>
      <c r="Q47" s="2" t="n">
        <v>0</v>
      </c>
      <c r="R47" s="2" t="n">
        <v>0</v>
      </c>
      <c r="S47" s="2" t="n">
        <v>-1</v>
      </c>
      <c r="T47" s="2" t="n">
        <v>0</v>
      </c>
      <c r="U47" s="2">
        <f>LN(G47)</f>
        <v/>
      </c>
      <c r="V47" s="2" t="inlineStr">
        <is>
          <t>N</t>
        </is>
      </c>
      <c r="W47" s="2" t="inlineStr">
        <is>
          <t>Y</t>
        </is>
      </c>
      <c r="X47" s="2" t="inlineStr">
        <is>
          <t>Y</t>
        </is>
      </c>
      <c r="Y47" s="2" t="inlineStr">
        <is>
          <t>Normal</t>
        </is>
      </c>
      <c r="Z47" s="2" t="inlineStr">
        <is>
          <t>대구경 F32 하한/time saving 확인</t>
        </is>
      </c>
      <c r="AA47" s="2" t="inlineStr">
        <is>
          <t>미래 추가 런</t>
        </is>
      </c>
      <c r="AB47" s="4" t="n"/>
      <c r="AC47" s="2">
        <f>IF(AB47="","",AB47/G47)</f>
        <v/>
      </c>
      <c r="AD47" s="2">
        <f>IF(AC47="","",LN(AC47))</f>
        <v/>
      </c>
      <c r="AE47" s="4" t="n"/>
      <c r="AF47" s="4" t="n"/>
      <c r="AG47" s="4" t="n"/>
      <c r="AH47" s="4" t="n"/>
    </row>
    <row r="48">
      <c r="A48" s="2" t="n">
        <v>47</v>
      </c>
      <c r="B48" s="2" t="inlineStr">
        <is>
          <t>DHIGH-09</t>
        </is>
      </c>
      <c r="C48" s="2" t="n">
        <v>1</v>
      </c>
      <c r="D48" s="2" t="inlineStr">
        <is>
          <t>Future_Add</t>
        </is>
      </c>
      <c r="E48" s="2" t="inlineStr">
        <is>
          <t>DHIGH</t>
        </is>
      </c>
      <c r="F48" s="2" t="inlineStr">
        <is>
          <t>N</t>
        </is>
      </c>
      <c r="G48" s="2" t="n">
        <v>180</v>
      </c>
      <c r="H48" s="2" t="inlineStr">
        <is>
          <t>HighAnchor_Future_150to180um</t>
        </is>
      </c>
      <c r="I48" s="2" t="inlineStr">
        <is>
          <t>P2_RF</t>
        </is>
      </c>
      <c r="J48" s="2" t="inlineStr">
        <is>
          <t>F high axial</t>
        </is>
      </c>
      <c r="K48" s="2" t="inlineStr">
        <is>
          <t>Axial_F_H</t>
        </is>
      </c>
      <c r="L48" s="2" t="inlineStr">
        <is>
          <t>Single</t>
        </is>
      </c>
      <c r="M48" s="2" t="n">
        <v>62</v>
      </c>
      <c r="N48" s="2" t="n">
        <v>1.5</v>
      </c>
      <c r="O48" s="2" t="n">
        <v>128</v>
      </c>
      <c r="P48" s="2" t="n">
        <v>4</v>
      </c>
      <c r="Q48" s="2" t="n">
        <v>0</v>
      </c>
      <c r="R48" s="2" t="n">
        <v>0</v>
      </c>
      <c r="S48" s="2" t="n">
        <v>1</v>
      </c>
      <c r="T48" s="2" t="n">
        <v>0</v>
      </c>
      <c r="U48" s="2">
        <f>LN(G48)</f>
        <v/>
      </c>
      <c r="V48" s="2" t="inlineStr">
        <is>
          <t>N</t>
        </is>
      </c>
      <c r="W48" s="2" t="inlineStr">
        <is>
          <t>Y</t>
        </is>
      </c>
      <c r="X48" s="2" t="inlineStr">
        <is>
          <t>Y</t>
        </is>
      </c>
      <c r="Y48" s="2" t="inlineStr">
        <is>
          <t>Normal</t>
        </is>
      </c>
      <c r="Z48" s="2" t="inlineStr">
        <is>
          <t>대구경 F128 high 확인</t>
        </is>
      </c>
      <c r="AA48" s="2" t="inlineStr">
        <is>
          <t>미래 추가 런</t>
        </is>
      </c>
      <c r="AB48" s="4" t="n"/>
      <c r="AC48" s="2">
        <f>IF(AB48="","",AB48/G48)</f>
        <v/>
      </c>
      <c r="AD48" s="2">
        <f>IF(AC48="","",LN(AC48))</f>
        <v/>
      </c>
      <c r="AE48" s="4" t="n"/>
      <c r="AF48" s="4" t="n"/>
      <c r="AG48" s="4" t="n"/>
      <c r="AH48" s="4" t="n"/>
    </row>
    <row r="49">
      <c r="A49" s="2" t="n">
        <v>48</v>
      </c>
      <c r="B49" s="2" t="inlineStr">
        <is>
          <t>DHIGH-10</t>
        </is>
      </c>
      <c r="C49" s="2" t="n">
        <v>1</v>
      </c>
      <c r="D49" s="2" t="inlineStr">
        <is>
          <t>Future_Add</t>
        </is>
      </c>
      <c r="E49" s="2" t="inlineStr">
        <is>
          <t>DHIGH</t>
        </is>
      </c>
      <c r="F49" s="2" t="inlineStr">
        <is>
          <t>N</t>
        </is>
      </c>
      <c r="G49" s="2" t="n">
        <v>180</v>
      </c>
      <c r="H49" s="2" t="inlineStr">
        <is>
          <t>HighAnchor_Future_150to180um</t>
        </is>
      </c>
      <c r="I49" s="2" t="inlineStr">
        <is>
          <t>P3_W</t>
        </is>
      </c>
      <c r="J49" s="2" t="inlineStr">
        <is>
          <t>W high axial</t>
        </is>
      </c>
      <c r="K49" s="2" t="inlineStr">
        <is>
          <t>Axial_W_H</t>
        </is>
      </c>
      <c r="L49" s="2" t="inlineStr">
        <is>
          <t>Single</t>
        </is>
      </c>
      <c r="M49" s="2" t="n">
        <v>62</v>
      </c>
      <c r="N49" s="2" t="n">
        <v>1.5</v>
      </c>
      <c r="O49" s="2" t="n">
        <v>64</v>
      </c>
      <c r="P49" s="2" t="n">
        <v>6</v>
      </c>
      <c r="Q49" s="2" t="n">
        <v>0</v>
      </c>
      <c r="R49" s="2" t="n">
        <v>0</v>
      </c>
      <c r="S49" s="2" t="n">
        <v>0</v>
      </c>
      <c r="T49" s="2" t="n">
        <v>1</v>
      </c>
      <c r="U49" s="2">
        <f>LN(G49)</f>
        <v/>
      </c>
      <c r="V49" s="2" t="inlineStr">
        <is>
          <t>N</t>
        </is>
      </c>
      <c r="W49" s="2" t="inlineStr">
        <is>
          <t>Y</t>
        </is>
      </c>
      <c r="X49" s="2" t="inlineStr">
        <is>
          <t>Y</t>
        </is>
      </c>
      <c r="Y49" s="2" t="inlineStr">
        <is>
          <t>Normal</t>
        </is>
      </c>
      <c r="Z49" s="2" t="inlineStr">
        <is>
          <t>대구경 W 상승 효과 확인</t>
        </is>
      </c>
      <c r="AA49" s="2" t="inlineStr">
        <is>
          <t>미래 추가 런</t>
        </is>
      </c>
      <c r="AB49" s="4" t="n"/>
      <c r="AC49" s="2">
        <f>IF(AB49="","",AB49/G49)</f>
        <v/>
      </c>
      <c r="AD49" s="2">
        <f>IF(AC49="","",LN(AC49))</f>
        <v/>
      </c>
      <c r="AE49" s="4" t="n"/>
      <c r="AF49" s="4" t="n"/>
      <c r="AG49" s="4" t="n"/>
      <c r="AH49" s="4" t="n"/>
    </row>
    <row r="50">
      <c r="A50" s="2" t="n">
        <v>49</v>
      </c>
      <c r="B50" s="2" t="inlineStr">
        <is>
          <t>DHIGH-11</t>
        </is>
      </c>
      <c r="C50" s="2" t="n">
        <v>1</v>
      </c>
      <c r="D50" s="2" t="inlineStr">
        <is>
          <t>Future_Add</t>
        </is>
      </c>
      <c r="E50" s="2" t="inlineStr">
        <is>
          <t>DHIGH</t>
        </is>
      </c>
      <c r="F50" s="2" t="inlineStr">
        <is>
          <t>N</t>
        </is>
      </c>
      <c r="G50" s="2" t="n">
        <v>180</v>
      </c>
      <c r="H50" s="2" t="inlineStr">
        <is>
          <t>HighAnchor_Future_150to180um</t>
        </is>
      </c>
      <c r="I50" s="2" t="inlineStr">
        <is>
          <t>P3_W</t>
        </is>
      </c>
      <c r="J50" s="2" t="inlineStr">
        <is>
          <t>R high W high guard</t>
        </is>
      </c>
      <c r="K50" s="2" t="inlineStr">
        <is>
          <t>R_W_guard</t>
        </is>
      </c>
      <c r="L50" s="2" t="inlineStr">
        <is>
          <t>Single</t>
        </is>
      </c>
      <c r="M50" s="2" t="n">
        <v>62</v>
      </c>
      <c r="N50" s="2" t="n">
        <v>3</v>
      </c>
      <c r="O50" s="2" t="n">
        <v>64</v>
      </c>
      <c r="P50" s="2" t="n">
        <v>6</v>
      </c>
      <c r="Q50" s="2" t="n">
        <v>0</v>
      </c>
      <c r="R50" s="2" t="n">
        <v>1</v>
      </c>
      <c r="S50" s="2" t="n">
        <v>0</v>
      </c>
      <c r="T50" s="2" t="n">
        <v>1</v>
      </c>
      <c r="U50" s="2">
        <f>LN(G50)</f>
        <v/>
      </c>
      <c r="V50" s="2" t="inlineStr">
        <is>
          <t>N</t>
        </is>
      </c>
      <c r="W50" s="2" t="inlineStr">
        <is>
          <t>Y</t>
        </is>
      </c>
      <c r="X50" s="2" t="inlineStr">
        <is>
          <t>Y</t>
        </is>
      </c>
      <c r="Y50" s="2" t="inlineStr">
        <is>
          <t>Normal</t>
        </is>
      </c>
      <c r="Z50" s="2" t="inlineStr">
        <is>
          <t>대구경 coarse R를 W 상승으로 보완 가능한지 확인</t>
        </is>
      </c>
      <c r="AA50" s="2" t="inlineStr">
        <is>
          <t>미래 추가 런</t>
        </is>
      </c>
      <c r="AB50" s="4" t="n"/>
      <c r="AC50" s="2">
        <f>IF(AB50="","",AB50/G50)</f>
        <v/>
      </c>
      <c r="AD50" s="2">
        <f>IF(AC50="","",LN(AC50))</f>
        <v/>
      </c>
      <c r="AE50" s="4" t="n"/>
      <c r="AF50" s="4" t="n"/>
      <c r="AG50" s="4" t="n"/>
      <c r="AH50" s="4" t="n"/>
    </row>
    <row r="51">
      <c r="A51" s="2" t="n">
        <v>50</v>
      </c>
      <c r="B51" s="2" t="inlineStr">
        <is>
          <t>DHIGH-12</t>
        </is>
      </c>
      <c r="C51" s="2" t="n">
        <v>1</v>
      </c>
      <c r="D51" s="2" t="inlineStr">
        <is>
          <t>Future_Add</t>
        </is>
      </c>
      <c r="E51" s="2" t="inlineStr">
        <is>
          <t>DHIGH</t>
        </is>
      </c>
      <c r="F51" s="2" t="inlineStr">
        <is>
          <t>N</t>
        </is>
      </c>
      <c r="G51" s="2" t="n">
        <v>180</v>
      </c>
      <c r="H51" s="2" t="inlineStr">
        <is>
          <t>HighAnchor_Future_150to180um</t>
        </is>
      </c>
      <c r="I51" s="2" t="inlineStr">
        <is>
          <t>P2P3_2FI</t>
        </is>
      </c>
      <c r="J51" s="2" t="inlineStr">
        <is>
          <t>Half-fraction interaction</t>
        </is>
      </c>
      <c r="K51" s="2" t="inlineStr">
        <is>
          <t>Interaction</t>
        </is>
      </c>
      <c r="L51" s="2" t="inlineStr">
        <is>
          <t>Single</t>
        </is>
      </c>
      <c r="M51" s="2" t="n">
        <v>60</v>
      </c>
      <c r="N51" s="2" t="n">
        <v>1</v>
      </c>
      <c r="O51" s="2" t="n">
        <v>32</v>
      </c>
      <c r="P51" s="2" t="n">
        <v>4</v>
      </c>
      <c r="Q51" s="2" t="n">
        <v>-1</v>
      </c>
      <c r="R51" s="2" t="n">
        <v>-1</v>
      </c>
      <c r="S51" s="2" t="n">
        <v>-1</v>
      </c>
      <c r="T51" s="2" t="n">
        <v>-1</v>
      </c>
      <c r="U51" s="2">
        <f>LN(G51)</f>
        <v/>
      </c>
      <c r="V51" s="2" t="inlineStr">
        <is>
          <t>N</t>
        </is>
      </c>
      <c r="W51" s="2" t="inlineStr">
        <is>
          <t>Y</t>
        </is>
      </c>
      <c r="X51" s="2" t="inlineStr">
        <is>
          <t>Y</t>
        </is>
      </c>
      <c r="Y51" s="2" t="inlineStr">
        <is>
          <t>Normal</t>
        </is>
      </c>
      <c r="Z51" s="2" t="inlineStr">
        <is>
          <t>대구경 kV/R/F/W 교호작용 점. D26/D86과 동일 구조로 추후 추가</t>
        </is>
      </c>
      <c r="AA51" s="2" t="inlineStr">
        <is>
          <t>미래 추가 런</t>
        </is>
      </c>
      <c r="AB51" s="4" t="n"/>
      <c r="AC51" s="2">
        <f>IF(AB51="","",AB51/G51)</f>
        <v/>
      </c>
      <c r="AD51" s="2">
        <f>IF(AC51="","",LN(AC51))</f>
        <v/>
      </c>
      <c r="AE51" s="4" t="n"/>
      <c r="AF51" s="4" t="n"/>
      <c r="AG51" s="4" t="n"/>
      <c r="AH51" s="4" t="n"/>
    </row>
    <row r="52">
      <c r="A52" s="2" t="n">
        <v>51</v>
      </c>
      <c r="B52" s="2" t="inlineStr">
        <is>
          <t>DHIGH-13</t>
        </is>
      </c>
      <c r="C52" s="2" t="n">
        <v>1</v>
      </c>
      <c r="D52" s="2" t="inlineStr">
        <is>
          <t>Future_Add</t>
        </is>
      </c>
      <c r="E52" s="2" t="inlineStr">
        <is>
          <t>DHIGH</t>
        </is>
      </c>
      <c r="F52" s="2" t="inlineStr">
        <is>
          <t>N</t>
        </is>
      </c>
      <c r="G52" s="2" t="n">
        <v>180</v>
      </c>
      <c r="H52" s="2" t="inlineStr">
        <is>
          <t>HighAnchor_Future_150to180um</t>
        </is>
      </c>
      <c r="I52" s="2" t="inlineStr">
        <is>
          <t>P2P3_2FI</t>
        </is>
      </c>
      <c r="J52" s="2" t="inlineStr">
        <is>
          <t>Half-fraction interaction</t>
        </is>
      </c>
      <c r="K52" s="2" t="inlineStr">
        <is>
          <t>Interaction</t>
        </is>
      </c>
      <c r="L52" s="2" t="inlineStr">
        <is>
          <t>Single</t>
        </is>
      </c>
      <c r="M52" s="2" t="n">
        <v>60</v>
      </c>
      <c r="N52" s="2" t="n">
        <v>1</v>
      </c>
      <c r="O52" s="2" t="n">
        <v>128</v>
      </c>
      <c r="P52" s="2" t="n">
        <v>6</v>
      </c>
      <c r="Q52" s="2" t="n">
        <v>-1</v>
      </c>
      <c r="R52" s="2" t="n">
        <v>-1</v>
      </c>
      <c r="S52" s="2" t="n">
        <v>1</v>
      </c>
      <c r="T52" s="2" t="n">
        <v>1</v>
      </c>
      <c r="U52" s="2">
        <f>LN(G52)</f>
        <v/>
      </c>
      <c r="V52" s="2" t="inlineStr">
        <is>
          <t>N</t>
        </is>
      </c>
      <c r="W52" s="2" t="inlineStr">
        <is>
          <t>Y</t>
        </is>
      </c>
      <c r="X52" s="2" t="inlineStr">
        <is>
          <t>Y</t>
        </is>
      </c>
      <c r="Y52" s="2" t="inlineStr">
        <is>
          <t>Normal</t>
        </is>
      </c>
      <c r="Z52" s="2" t="inlineStr">
        <is>
          <t>대구경 kV/R/F/W 교호작용 점. D26/D86과 동일 구조로 추후 추가</t>
        </is>
      </c>
      <c r="AA52" s="2" t="inlineStr">
        <is>
          <t>미래 추가 런</t>
        </is>
      </c>
      <c r="AB52" s="4" t="n"/>
      <c r="AC52" s="2">
        <f>IF(AB52="","",AB52/G52)</f>
        <v/>
      </c>
      <c r="AD52" s="2">
        <f>IF(AC52="","",LN(AC52))</f>
        <v/>
      </c>
      <c r="AE52" s="4" t="n"/>
      <c r="AF52" s="4" t="n"/>
      <c r="AG52" s="4" t="n"/>
      <c r="AH52" s="4" t="n"/>
    </row>
    <row r="53">
      <c r="A53" s="2" t="n">
        <v>52</v>
      </c>
      <c r="B53" s="2" t="inlineStr">
        <is>
          <t>DHIGH-14</t>
        </is>
      </c>
      <c r="C53" s="2" t="n">
        <v>1</v>
      </c>
      <c r="D53" s="2" t="inlineStr">
        <is>
          <t>Future_Add</t>
        </is>
      </c>
      <c r="E53" s="2" t="inlineStr">
        <is>
          <t>DHIGH</t>
        </is>
      </c>
      <c r="F53" s="2" t="inlineStr">
        <is>
          <t>N</t>
        </is>
      </c>
      <c r="G53" s="2" t="n">
        <v>180</v>
      </c>
      <c r="H53" s="2" t="inlineStr">
        <is>
          <t>HighAnchor_Future_150to180um</t>
        </is>
      </c>
      <c r="I53" s="2" t="inlineStr">
        <is>
          <t>P2P3_2FI</t>
        </is>
      </c>
      <c r="J53" s="2" t="inlineStr">
        <is>
          <t>Half-fraction interaction</t>
        </is>
      </c>
      <c r="K53" s="2" t="inlineStr">
        <is>
          <t>Interaction</t>
        </is>
      </c>
      <c r="L53" s="2" t="inlineStr">
        <is>
          <t>Single</t>
        </is>
      </c>
      <c r="M53" s="2" t="n">
        <v>60</v>
      </c>
      <c r="N53" s="2" t="n">
        <v>3</v>
      </c>
      <c r="O53" s="2" t="n">
        <v>32</v>
      </c>
      <c r="P53" s="2" t="n">
        <v>6</v>
      </c>
      <c r="Q53" s="2" t="n">
        <v>-1</v>
      </c>
      <c r="R53" s="2" t="n">
        <v>1</v>
      </c>
      <c r="S53" s="2" t="n">
        <v>-1</v>
      </c>
      <c r="T53" s="2" t="n">
        <v>1</v>
      </c>
      <c r="U53" s="2">
        <f>LN(G53)</f>
        <v/>
      </c>
      <c r="V53" s="2" t="inlineStr">
        <is>
          <t>N</t>
        </is>
      </c>
      <c r="W53" s="2" t="inlineStr">
        <is>
          <t>Y</t>
        </is>
      </c>
      <c r="X53" s="2" t="inlineStr">
        <is>
          <t>Y</t>
        </is>
      </c>
      <c r="Y53" s="2" t="inlineStr">
        <is>
          <t>Normal</t>
        </is>
      </c>
      <c r="Z53" s="2" t="inlineStr">
        <is>
          <t>대구경 kV/R/F/W 교호작용 점. D26/D86과 동일 구조로 추후 추가</t>
        </is>
      </c>
      <c r="AA53" s="2" t="inlineStr">
        <is>
          <t>미래 추가 런</t>
        </is>
      </c>
      <c r="AB53" s="4" t="n"/>
      <c r="AC53" s="2">
        <f>IF(AB53="","",AB53/G53)</f>
        <v/>
      </c>
      <c r="AD53" s="2">
        <f>IF(AC53="","",LN(AC53))</f>
        <v/>
      </c>
      <c r="AE53" s="4" t="n"/>
      <c r="AF53" s="4" t="n"/>
      <c r="AG53" s="4" t="n"/>
      <c r="AH53" s="4" t="n"/>
    </row>
    <row r="54">
      <c r="A54" s="2" t="n">
        <v>53</v>
      </c>
      <c r="B54" s="2" t="inlineStr">
        <is>
          <t>DHIGH-15</t>
        </is>
      </c>
      <c r="C54" s="2" t="n">
        <v>1</v>
      </c>
      <c r="D54" s="2" t="inlineStr">
        <is>
          <t>Future_Add</t>
        </is>
      </c>
      <c r="E54" s="2" t="inlineStr">
        <is>
          <t>DHIGH</t>
        </is>
      </c>
      <c r="F54" s="2" t="inlineStr">
        <is>
          <t>N</t>
        </is>
      </c>
      <c r="G54" s="2" t="n">
        <v>180</v>
      </c>
      <c r="H54" s="2" t="inlineStr">
        <is>
          <t>HighAnchor_Future_150to180um</t>
        </is>
      </c>
      <c r="I54" s="2" t="inlineStr">
        <is>
          <t>P2P3_2FI</t>
        </is>
      </c>
      <c r="J54" s="2" t="inlineStr">
        <is>
          <t>Half-fraction interaction</t>
        </is>
      </c>
      <c r="K54" s="2" t="inlineStr">
        <is>
          <t>Interaction</t>
        </is>
      </c>
      <c r="L54" s="2" t="inlineStr">
        <is>
          <t>Single</t>
        </is>
      </c>
      <c r="M54" s="2" t="n">
        <v>60</v>
      </c>
      <c r="N54" s="2" t="n">
        <v>3</v>
      </c>
      <c r="O54" s="2" t="n">
        <v>128</v>
      </c>
      <c r="P54" s="2" t="n">
        <v>4</v>
      </c>
      <c r="Q54" s="2" t="n">
        <v>-1</v>
      </c>
      <c r="R54" s="2" t="n">
        <v>1</v>
      </c>
      <c r="S54" s="2" t="n">
        <v>1</v>
      </c>
      <c r="T54" s="2" t="n">
        <v>-1</v>
      </c>
      <c r="U54" s="2">
        <f>LN(G54)</f>
        <v/>
      </c>
      <c r="V54" s="2" t="inlineStr">
        <is>
          <t>N</t>
        </is>
      </c>
      <c r="W54" s="2" t="inlineStr">
        <is>
          <t>Y</t>
        </is>
      </c>
      <c r="X54" s="2" t="inlineStr">
        <is>
          <t>Y</t>
        </is>
      </c>
      <c r="Y54" s="2" t="inlineStr">
        <is>
          <t>Normal</t>
        </is>
      </c>
      <c r="Z54" s="2" t="inlineStr">
        <is>
          <t>대구경 kV/R/F/W 교호작용 점. D26/D86과 동일 구조로 추후 추가</t>
        </is>
      </c>
      <c r="AA54" s="2" t="inlineStr">
        <is>
          <t>미래 추가 런</t>
        </is>
      </c>
      <c r="AB54" s="4" t="n"/>
      <c r="AC54" s="2">
        <f>IF(AB54="","",AB54/G54)</f>
        <v/>
      </c>
      <c r="AD54" s="2">
        <f>IF(AC54="","",LN(AC54))</f>
        <v/>
      </c>
      <c r="AE54" s="4" t="n"/>
      <c r="AF54" s="4" t="n"/>
      <c r="AG54" s="4" t="n"/>
      <c r="AH54" s="4" t="n"/>
    </row>
    <row r="55">
      <c r="A55" s="2" t="n">
        <v>54</v>
      </c>
      <c r="B55" s="2" t="inlineStr">
        <is>
          <t>DHIGH-16</t>
        </is>
      </c>
      <c r="C55" s="2" t="n">
        <v>1</v>
      </c>
      <c r="D55" s="2" t="inlineStr">
        <is>
          <t>Future_Add</t>
        </is>
      </c>
      <c r="E55" s="2" t="inlineStr">
        <is>
          <t>DHIGH</t>
        </is>
      </c>
      <c r="F55" s="2" t="inlineStr">
        <is>
          <t>N</t>
        </is>
      </c>
      <c r="G55" s="2" t="n">
        <v>180</v>
      </c>
      <c r="H55" s="2" t="inlineStr">
        <is>
          <t>HighAnchor_Future_150to180um</t>
        </is>
      </c>
      <c r="I55" s="2" t="inlineStr">
        <is>
          <t>P2P3_2FI</t>
        </is>
      </c>
      <c r="J55" s="2" t="inlineStr">
        <is>
          <t>Half-fraction interaction</t>
        </is>
      </c>
      <c r="K55" s="2" t="inlineStr">
        <is>
          <t>Interaction</t>
        </is>
      </c>
      <c r="L55" s="2" t="inlineStr">
        <is>
          <t>Single</t>
        </is>
      </c>
      <c r="M55" s="2" t="n">
        <v>64</v>
      </c>
      <c r="N55" s="2" t="n">
        <v>1</v>
      </c>
      <c r="O55" s="2" t="n">
        <v>32</v>
      </c>
      <c r="P55" s="2" t="n">
        <v>6</v>
      </c>
      <c r="Q55" s="2" t="n">
        <v>1</v>
      </c>
      <c r="R55" s="2" t="n">
        <v>-1</v>
      </c>
      <c r="S55" s="2" t="n">
        <v>-1</v>
      </c>
      <c r="T55" s="2" t="n">
        <v>1</v>
      </c>
      <c r="U55" s="2">
        <f>LN(G55)</f>
        <v/>
      </c>
      <c r="V55" s="2" t="inlineStr">
        <is>
          <t>N</t>
        </is>
      </c>
      <c r="W55" s="2" t="inlineStr">
        <is>
          <t>Y</t>
        </is>
      </c>
      <c r="X55" s="2" t="inlineStr">
        <is>
          <t>Y</t>
        </is>
      </c>
      <c r="Y55" s="2" t="inlineStr">
        <is>
          <t>Normal</t>
        </is>
      </c>
      <c r="Z55" s="2" t="inlineStr">
        <is>
          <t>대구경 kV/R/F/W 교호작용 점. D26/D86과 동일 구조로 추후 추가</t>
        </is>
      </c>
      <c r="AA55" s="2" t="inlineStr">
        <is>
          <t>미래 추가 런</t>
        </is>
      </c>
      <c r="AB55" s="4" t="n"/>
      <c r="AC55" s="2">
        <f>IF(AB55="","",AB55/G55)</f>
        <v/>
      </c>
      <c r="AD55" s="2">
        <f>IF(AC55="","",LN(AC55))</f>
        <v/>
      </c>
      <c r="AE55" s="4" t="n"/>
      <c r="AF55" s="4" t="n"/>
      <c r="AG55" s="4" t="n"/>
      <c r="AH55" s="4" t="n"/>
    </row>
    <row r="56">
      <c r="A56" s="2" t="n">
        <v>55</v>
      </c>
      <c r="B56" s="2" t="inlineStr">
        <is>
          <t>DHIGH-17</t>
        </is>
      </c>
      <c r="C56" s="2" t="n">
        <v>1</v>
      </c>
      <c r="D56" s="2" t="inlineStr">
        <is>
          <t>Future_Add</t>
        </is>
      </c>
      <c r="E56" s="2" t="inlineStr">
        <is>
          <t>DHIGH</t>
        </is>
      </c>
      <c r="F56" s="2" t="inlineStr">
        <is>
          <t>N</t>
        </is>
      </c>
      <c r="G56" s="2" t="n">
        <v>180</v>
      </c>
      <c r="H56" s="2" t="inlineStr">
        <is>
          <t>HighAnchor_Future_150to180um</t>
        </is>
      </c>
      <c r="I56" s="2" t="inlineStr">
        <is>
          <t>P2P3_2FI</t>
        </is>
      </c>
      <c r="J56" s="2" t="inlineStr">
        <is>
          <t>Half-fraction interaction</t>
        </is>
      </c>
      <c r="K56" s="2" t="inlineStr">
        <is>
          <t>Interaction</t>
        </is>
      </c>
      <c r="L56" s="2" t="inlineStr">
        <is>
          <t>Single</t>
        </is>
      </c>
      <c r="M56" s="2" t="n">
        <v>64</v>
      </c>
      <c r="N56" s="2" t="n">
        <v>1</v>
      </c>
      <c r="O56" s="2" t="n">
        <v>128</v>
      </c>
      <c r="P56" s="2" t="n">
        <v>4</v>
      </c>
      <c r="Q56" s="2" t="n">
        <v>1</v>
      </c>
      <c r="R56" s="2" t="n">
        <v>-1</v>
      </c>
      <c r="S56" s="2" t="n">
        <v>1</v>
      </c>
      <c r="T56" s="2" t="n">
        <v>-1</v>
      </c>
      <c r="U56" s="2">
        <f>LN(G56)</f>
        <v/>
      </c>
      <c r="V56" s="2" t="inlineStr">
        <is>
          <t>N</t>
        </is>
      </c>
      <c r="W56" s="2" t="inlineStr">
        <is>
          <t>Y</t>
        </is>
      </c>
      <c r="X56" s="2" t="inlineStr">
        <is>
          <t>Y</t>
        </is>
      </c>
      <c r="Y56" s="2" t="inlineStr">
        <is>
          <t>Normal</t>
        </is>
      </c>
      <c r="Z56" s="2" t="inlineStr">
        <is>
          <t>대구경 kV/R/F/W 교호작용 점. D26/D86과 동일 구조로 추후 추가</t>
        </is>
      </c>
      <c r="AA56" s="2" t="inlineStr">
        <is>
          <t>미래 추가 런</t>
        </is>
      </c>
      <c r="AB56" s="4" t="n"/>
      <c r="AC56" s="2">
        <f>IF(AB56="","",AB56/G56)</f>
        <v/>
      </c>
      <c r="AD56" s="2">
        <f>IF(AC56="","",LN(AC56))</f>
        <v/>
      </c>
      <c r="AE56" s="4" t="n"/>
      <c r="AF56" s="4" t="n"/>
      <c r="AG56" s="4" t="n"/>
      <c r="AH56" s="4" t="n"/>
    </row>
    <row r="57">
      <c r="A57" s="2" t="n">
        <v>56</v>
      </c>
      <c r="B57" s="2" t="inlineStr">
        <is>
          <t>DHIGH-18</t>
        </is>
      </c>
      <c r="C57" s="2" t="n">
        <v>1</v>
      </c>
      <c r="D57" s="2" t="inlineStr">
        <is>
          <t>Future_Add</t>
        </is>
      </c>
      <c r="E57" s="2" t="inlineStr">
        <is>
          <t>DHIGH</t>
        </is>
      </c>
      <c r="F57" s="2" t="inlineStr">
        <is>
          <t>N</t>
        </is>
      </c>
      <c r="G57" s="2" t="n">
        <v>180</v>
      </c>
      <c r="H57" s="2" t="inlineStr">
        <is>
          <t>HighAnchor_Future_150to180um</t>
        </is>
      </c>
      <c r="I57" s="2" t="inlineStr">
        <is>
          <t>P2P3_2FI</t>
        </is>
      </c>
      <c r="J57" s="2" t="inlineStr">
        <is>
          <t>Half-fraction interaction</t>
        </is>
      </c>
      <c r="K57" s="2" t="inlineStr">
        <is>
          <t>Interaction</t>
        </is>
      </c>
      <c r="L57" s="2" t="inlineStr">
        <is>
          <t>Single</t>
        </is>
      </c>
      <c r="M57" s="2" t="n">
        <v>64</v>
      </c>
      <c r="N57" s="2" t="n">
        <v>3</v>
      </c>
      <c r="O57" s="2" t="n">
        <v>32</v>
      </c>
      <c r="P57" s="2" t="n">
        <v>4</v>
      </c>
      <c r="Q57" s="2" t="n">
        <v>1</v>
      </c>
      <c r="R57" s="2" t="n">
        <v>1</v>
      </c>
      <c r="S57" s="2" t="n">
        <v>-1</v>
      </c>
      <c r="T57" s="2" t="n">
        <v>-1</v>
      </c>
      <c r="U57" s="2">
        <f>LN(G57)</f>
        <v/>
      </c>
      <c r="V57" s="2" t="inlineStr">
        <is>
          <t>N</t>
        </is>
      </c>
      <c r="W57" s="2" t="inlineStr">
        <is>
          <t>Y</t>
        </is>
      </c>
      <c r="X57" s="2" t="inlineStr">
        <is>
          <t>Y</t>
        </is>
      </c>
      <c r="Y57" s="2" t="inlineStr">
        <is>
          <t>Normal</t>
        </is>
      </c>
      <c r="Z57" s="2" t="inlineStr">
        <is>
          <t>대구경 kV/R/F/W 교호작용 점. D26/D86과 동일 구조로 추후 추가</t>
        </is>
      </c>
      <c r="AA57" s="2" t="inlineStr">
        <is>
          <t>미래 추가 런</t>
        </is>
      </c>
      <c r="AB57" s="4" t="n"/>
      <c r="AC57" s="2">
        <f>IF(AB57="","",AB57/G57)</f>
        <v/>
      </c>
      <c r="AD57" s="2">
        <f>IF(AC57="","",LN(AC57))</f>
        <v/>
      </c>
      <c r="AE57" s="4" t="n"/>
      <c r="AF57" s="4" t="n"/>
      <c r="AG57" s="4" t="n"/>
      <c r="AH57" s="4" t="n"/>
    </row>
    <row r="58">
      <c r="A58" s="2" t="n">
        <v>57</v>
      </c>
      <c r="B58" s="2" t="inlineStr">
        <is>
          <t>DHIGH-19</t>
        </is>
      </c>
      <c r="C58" s="2" t="n">
        <v>1</v>
      </c>
      <c r="D58" s="2" t="inlineStr">
        <is>
          <t>Future_Add</t>
        </is>
      </c>
      <c r="E58" s="2" t="inlineStr">
        <is>
          <t>DHIGH</t>
        </is>
      </c>
      <c r="F58" s="2" t="inlineStr">
        <is>
          <t>N</t>
        </is>
      </c>
      <c r="G58" s="2" t="n">
        <v>180</v>
      </c>
      <c r="H58" s="2" t="inlineStr">
        <is>
          <t>HighAnchor_Future_150to180um</t>
        </is>
      </c>
      <c r="I58" s="2" t="inlineStr">
        <is>
          <t>P2P3_2FI</t>
        </is>
      </c>
      <c r="J58" s="2" t="inlineStr">
        <is>
          <t>Half-fraction interaction</t>
        </is>
      </c>
      <c r="K58" s="2" t="inlineStr">
        <is>
          <t>Interaction</t>
        </is>
      </c>
      <c r="L58" s="2" t="inlineStr">
        <is>
          <t>Single</t>
        </is>
      </c>
      <c r="M58" s="2" t="n">
        <v>64</v>
      </c>
      <c r="N58" s="2" t="n">
        <v>3</v>
      </c>
      <c r="O58" s="2" t="n">
        <v>128</v>
      </c>
      <c r="P58" s="2" t="n">
        <v>6</v>
      </c>
      <c r="Q58" s="2" t="n">
        <v>1</v>
      </c>
      <c r="R58" s="2" t="n">
        <v>1</v>
      </c>
      <c r="S58" s="2" t="n">
        <v>1</v>
      </c>
      <c r="T58" s="2" t="n">
        <v>1</v>
      </c>
      <c r="U58" s="2">
        <f>LN(G58)</f>
        <v/>
      </c>
      <c r="V58" s="2" t="inlineStr">
        <is>
          <t>N</t>
        </is>
      </c>
      <c r="W58" s="2" t="inlineStr">
        <is>
          <t>Y</t>
        </is>
      </c>
      <c r="X58" s="2" t="inlineStr">
        <is>
          <t>Y</t>
        </is>
      </c>
      <c r="Y58" s="2" t="inlineStr">
        <is>
          <t>Normal</t>
        </is>
      </c>
      <c r="Z58" s="2" t="inlineStr">
        <is>
          <t>대구경 kV/R/F/W 교호작용 점. D26/D86과 동일 구조로 추후 추가</t>
        </is>
      </c>
      <c r="AA58" s="2" t="inlineStr">
        <is>
          <t>미래 추가 런</t>
        </is>
      </c>
      <c r="AB58" s="4" t="n"/>
      <c r="AC58" s="2">
        <f>IF(AB58="","",AB58/G58)</f>
        <v/>
      </c>
      <c r="AD58" s="2">
        <f>IF(AC58="","",LN(AC58))</f>
        <v/>
      </c>
      <c r="AE58" s="4" t="n"/>
      <c r="AF58" s="4" t="n"/>
      <c r="AG58" s="4" t="n"/>
      <c r="AH58" s="4" t="n"/>
    </row>
  </sheetData>
  <autoFilter ref="A1:AH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0" customWidth="1" min="1" max="1"/>
    <col width="14" customWidth="1" min="2" max="2"/>
    <col width="10" customWidth="1" min="3" max="3"/>
    <col width="11" customWidth="1" min="4" max="4"/>
    <col width="12" customWidth="1" min="5" max="5"/>
    <col width="18" customWidth="1" min="6" max="6"/>
    <col width="15" customWidth="1" min="7" max="7"/>
    <col width="28" customWidth="1" min="8" max="8"/>
    <col width="15" customWidth="1" min="9" max="9"/>
    <col width="24" customWidth="1" min="10" max="10"/>
    <col width="20" customWidth="1" min="11" max="11"/>
    <col width="12" customWidth="1" min="12" max="12"/>
    <col width="9" customWidth="1" min="13" max="13"/>
    <col width="12" customWidth="1" min="14" max="14"/>
    <col width="8" customWidth="1" min="15" max="16"/>
    <col width="10" customWidth="1" min="17" max="20"/>
    <col width="12" customWidth="1" min="21" max="21"/>
    <col width="16" customWidth="1" min="22" max="23"/>
    <col width="18" customWidth="1" min="24" max="24"/>
    <col width="10" customWidth="1" min="25" max="25"/>
    <col width="60" customWidth="1" min="26" max="26"/>
    <col width="44" customWidth="1" min="27" max="27"/>
    <col width="18" customWidth="1" min="28" max="28"/>
    <col width="14" customWidth="1" min="29" max="30"/>
    <col width="10" customWidth="1" min="31" max="31"/>
    <col width="20" customWidth="1" min="32" max="32"/>
    <col width="10" customWidth="1" min="33" max="33"/>
    <col width="30" customWidth="1" min="34" max="34"/>
  </cols>
  <sheetData>
    <row r="1" ht="29" customHeight="1">
      <c r="A1" s="3" t="inlineStr">
        <is>
          <t>Run_Order</t>
        </is>
      </c>
      <c r="B1" s="3" t="inlineStr">
        <is>
          <t>Global_Run_ID</t>
        </is>
      </c>
      <c r="C1" s="3" t="inlineStr">
        <is>
          <t>Run_Count</t>
        </is>
      </c>
      <c r="D1" s="3" t="inlineStr">
        <is>
          <t>Set</t>
        </is>
      </c>
      <c r="E1" s="3" t="inlineStr">
        <is>
          <t>Anchor_ID</t>
        </is>
      </c>
      <c r="F1" s="3" t="inlineStr">
        <is>
          <t>Anchor_Available_Now</t>
        </is>
      </c>
      <c r="G1" s="3" t="inlineStr">
        <is>
          <t>PD_Diameter_um</t>
        </is>
      </c>
      <c r="H1" s="3" t="inlineStr">
        <is>
          <t>Material_Label</t>
        </is>
      </c>
      <c r="I1" s="3" t="inlineStr">
        <is>
          <t>Phase</t>
        </is>
      </c>
      <c r="J1" s="3" t="inlineStr">
        <is>
          <t>Model_Role</t>
        </is>
      </c>
      <c r="K1" s="3" t="inlineStr">
        <is>
          <t>Run_Type</t>
        </is>
      </c>
      <c r="L1" s="3" t="inlineStr">
        <is>
          <t>Repeat_Tag</t>
        </is>
      </c>
      <c r="M1" s="3" t="inlineStr">
        <is>
          <t>kV</t>
        </is>
      </c>
      <c r="N1" s="3" t="inlineStr">
        <is>
          <t>R_um_per_px</t>
        </is>
      </c>
      <c r="O1" s="3" t="inlineStr">
        <is>
          <t>F</t>
        </is>
      </c>
      <c r="P1" s="3" t="inlineStr">
        <is>
          <t>W</t>
        </is>
      </c>
      <c r="Q1" s="3" t="inlineStr">
        <is>
          <t>kV_code</t>
        </is>
      </c>
      <c r="R1" s="3" t="inlineStr">
        <is>
          <t>R_code</t>
        </is>
      </c>
      <c r="S1" s="3" t="inlineStr">
        <is>
          <t>F_code</t>
        </is>
      </c>
      <c r="T1" s="3" t="inlineStr">
        <is>
          <t>W_code</t>
        </is>
      </c>
      <c r="U1" s="3" t="inlineStr">
        <is>
          <t>D_code_log</t>
        </is>
      </c>
      <c r="V1" s="3" t="inlineStr">
        <is>
          <t>Use_in_2Anchor_Now</t>
        </is>
      </c>
      <c r="W1" s="3" t="inlineStr">
        <is>
          <t>Use_in_3Anchor_Full</t>
        </is>
      </c>
      <c r="X1" s="3" t="inlineStr">
        <is>
          <t>Later_Addition_Only</t>
        </is>
      </c>
      <c r="Y1" s="3" t="inlineStr">
        <is>
          <t>Priority</t>
        </is>
      </c>
      <c r="Z1" s="3" t="inlineStr">
        <is>
          <t>Purpose</t>
        </is>
      </c>
      <c r="AA1" s="3" t="inlineStr">
        <is>
          <t>Risk_Note</t>
        </is>
      </c>
      <c r="AB1" s="3" t="inlineStr">
        <is>
          <t>Measured_Diameter_um</t>
        </is>
      </c>
      <c r="AC1" s="3" t="inlineStr">
        <is>
          <t>Q_dia_formula</t>
        </is>
      </c>
      <c r="AD1" s="3" t="inlineStr">
        <is>
          <t>ln_Q_formula</t>
        </is>
      </c>
      <c r="AE1" s="3" t="inlineStr">
        <is>
          <t>Match_YN</t>
        </is>
      </c>
      <c r="AF1" s="3" t="inlineStr">
        <is>
          <t>FailedToMatchCAD_YN</t>
        </is>
      </c>
      <c r="AG1" s="3" t="inlineStr">
        <is>
          <t>Tact_sec</t>
        </is>
      </c>
      <c r="AH1" s="3" t="inlineStr">
        <is>
          <t>Operator_Memo</t>
        </is>
      </c>
    </row>
    <row r="2">
      <c r="A2" s="2" t="n">
        <v>1</v>
      </c>
      <c r="B2" s="2" t="inlineStr">
        <is>
          <t>DHIGH-01</t>
        </is>
      </c>
      <c r="C2" s="2" t="n">
        <v>1</v>
      </c>
      <c r="D2" s="2" t="inlineStr">
        <is>
          <t>Future_Add</t>
        </is>
      </c>
      <c r="E2" s="2" t="inlineStr">
        <is>
          <t>DHIGH</t>
        </is>
      </c>
      <c r="F2" s="2" t="inlineStr">
        <is>
          <t>N</t>
        </is>
      </c>
      <c r="G2" s="2" t="n">
        <v>180</v>
      </c>
      <c r="H2" s="2" t="inlineStr">
        <is>
          <t>HighAnchor_Future_150to180um</t>
        </is>
      </c>
      <c r="I2" s="2" t="inlineStr">
        <is>
          <t>P0_Center</t>
        </is>
      </c>
      <c r="J2" s="2" t="inlineStr">
        <is>
          <t>Center repeat</t>
        </is>
      </c>
      <c r="K2" s="2" t="inlineStr">
        <is>
          <t>Center</t>
        </is>
      </c>
      <c r="L2" s="2" t="inlineStr">
        <is>
          <t>Rep1</t>
        </is>
      </c>
      <c r="M2" s="2" t="n">
        <v>62</v>
      </c>
      <c r="N2" s="2" t="n">
        <v>1.5</v>
      </c>
      <c r="O2" s="2" t="n">
        <v>64</v>
      </c>
      <c r="P2" s="2" t="n">
        <v>4</v>
      </c>
      <c r="Q2" s="2" t="n">
        <v>0</v>
      </c>
      <c r="R2" s="2" t="n">
        <v>0</v>
      </c>
      <c r="S2" s="2" t="n">
        <v>0</v>
      </c>
      <c r="T2" s="2" t="n">
        <v>0</v>
      </c>
      <c r="U2" s="2">
        <f>LN(G2)</f>
        <v/>
      </c>
      <c r="V2" s="2" t="inlineStr">
        <is>
          <t>N</t>
        </is>
      </c>
      <c r="W2" s="2" t="inlineStr">
        <is>
          <t>Y</t>
        </is>
      </c>
      <c r="X2" s="2" t="inlineStr">
        <is>
          <t>Y</t>
        </is>
      </c>
      <c r="Y2" s="2" t="inlineStr">
        <is>
          <t>Normal</t>
        </is>
      </c>
      <c r="Z2" s="2" t="inlineStr">
        <is>
          <t>대구경 anchor 중심 조건 반복. 추후 확보 후 실행</t>
        </is>
      </c>
      <c r="AA2" s="2" t="inlineStr">
        <is>
          <t>미래 추가 런</t>
        </is>
      </c>
      <c r="AB2" s="4" t="n"/>
      <c r="AC2" s="2">
        <f>IF(AB2="","",AB2/G2)</f>
        <v/>
      </c>
      <c r="AD2" s="2">
        <f>IF(AC2="","",LN(AC2))</f>
        <v/>
      </c>
      <c r="AE2" s="4" t="n"/>
      <c r="AF2" s="4" t="n"/>
      <c r="AG2" s="4" t="n"/>
      <c r="AH2" s="4" t="n"/>
    </row>
    <row r="3">
      <c r="A3" s="2" t="n">
        <v>2</v>
      </c>
      <c r="B3" s="2" t="inlineStr">
        <is>
          <t>DHIGH-02</t>
        </is>
      </c>
      <c r="C3" s="2" t="n">
        <v>1</v>
      </c>
      <c r="D3" s="2" t="inlineStr">
        <is>
          <t>Future_Add</t>
        </is>
      </c>
      <c r="E3" s="2" t="inlineStr">
        <is>
          <t>DHIGH</t>
        </is>
      </c>
      <c r="F3" s="2" t="inlineStr">
        <is>
          <t>N</t>
        </is>
      </c>
      <c r="G3" s="2" t="n">
        <v>180</v>
      </c>
      <c r="H3" s="2" t="inlineStr">
        <is>
          <t>HighAnchor_Future_150to180um</t>
        </is>
      </c>
      <c r="I3" s="2" t="inlineStr">
        <is>
          <t>P0_Center</t>
        </is>
      </c>
      <c r="J3" s="2" t="inlineStr">
        <is>
          <t>Center repeat</t>
        </is>
      </c>
      <c r="K3" s="2" t="inlineStr">
        <is>
          <t>Center</t>
        </is>
      </c>
      <c r="L3" s="2" t="inlineStr">
        <is>
          <t>Rep2</t>
        </is>
      </c>
      <c r="M3" s="2" t="n">
        <v>62</v>
      </c>
      <c r="N3" s="2" t="n">
        <v>1.5</v>
      </c>
      <c r="O3" s="2" t="n">
        <v>64</v>
      </c>
      <c r="P3" s="2" t="n">
        <v>4</v>
      </c>
      <c r="Q3" s="2" t="n">
        <v>0</v>
      </c>
      <c r="R3" s="2" t="n">
        <v>0</v>
      </c>
      <c r="S3" s="2" t="n">
        <v>0</v>
      </c>
      <c r="T3" s="2" t="n">
        <v>0</v>
      </c>
      <c r="U3" s="2">
        <f>LN(G3)</f>
        <v/>
      </c>
      <c r="V3" s="2" t="inlineStr">
        <is>
          <t>N</t>
        </is>
      </c>
      <c r="W3" s="2" t="inlineStr">
        <is>
          <t>Y</t>
        </is>
      </c>
      <c r="X3" s="2" t="inlineStr">
        <is>
          <t>Y</t>
        </is>
      </c>
      <c r="Y3" s="2" t="inlineStr">
        <is>
          <t>Normal</t>
        </is>
      </c>
      <c r="Z3" s="2" t="inlineStr">
        <is>
          <t>대구경 anchor 중심 조건 반복. 추후 확보 후 실행</t>
        </is>
      </c>
      <c r="AA3" s="2" t="inlineStr">
        <is>
          <t>미래 추가 런</t>
        </is>
      </c>
      <c r="AB3" s="4" t="n"/>
      <c r="AC3" s="2">
        <f>IF(AB3="","",AB3/G3)</f>
        <v/>
      </c>
      <c r="AD3" s="2">
        <f>IF(AC3="","",LN(AC3))</f>
        <v/>
      </c>
      <c r="AE3" s="4" t="n"/>
      <c r="AF3" s="4" t="n"/>
      <c r="AG3" s="4" t="n"/>
      <c r="AH3" s="4" t="n"/>
    </row>
    <row r="4">
      <c r="A4" s="2" t="n">
        <v>3</v>
      </c>
      <c r="B4" s="2" t="inlineStr">
        <is>
          <t>DHIGH-03</t>
        </is>
      </c>
      <c r="C4" s="2" t="n">
        <v>1</v>
      </c>
      <c r="D4" s="2" t="inlineStr">
        <is>
          <t>Future_Add</t>
        </is>
      </c>
      <c r="E4" s="2" t="inlineStr">
        <is>
          <t>DHIGH</t>
        </is>
      </c>
      <c r="F4" s="2" t="inlineStr">
        <is>
          <t>N</t>
        </is>
      </c>
      <c r="G4" s="2" t="n">
        <v>180</v>
      </c>
      <c r="H4" s="2" t="inlineStr">
        <is>
          <t>HighAnchor_Future_150to180um</t>
        </is>
      </c>
      <c r="I4" s="2" t="inlineStr">
        <is>
          <t>P0_Center</t>
        </is>
      </c>
      <c r="J4" s="2" t="inlineStr">
        <is>
          <t>Center repeat</t>
        </is>
      </c>
      <c r="K4" s="2" t="inlineStr">
        <is>
          <t>Center</t>
        </is>
      </c>
      <c r="L4" s="2" t="inlineStr">
        <is>
          <t>Rep3</t>
        </is>
      </c>
      <c r="M4" s="2" t="n">
        <v>62</v>
      </c>
      <c r="N4" s="2" t="n">
        <v>1.5</v>
      </c>
      <c r="O4" s="2" t="n">
        <v>64</v>
      </c>
      <c r="P4" s="2" t="n">
        <v>4</v>
      </c>
      <c r="Q4" s="2" t="n">
        <v>0</v>
      </c>
      <c r="R4" s="2" t="n">
        <v>0</v>
      </c>
      <c r="S4" s="2" t="n">
        <v>0</v>
      </c>
      <c r="T4" s="2" t="n">
        <v>0</v>
      </c>
      <c r="U4" s="2">
        <f>LN(G4)</f>
        <v/>
      </c>
      <c r="V4" s="2" t="inlineStr">
        <is>
          <t>N</t>
        </is>
      </c>
      <c r="W4" s="2" t="inlineStr">
        <is>
          <t>Y</t>
        </is>
      </c>
      <c r="X4" s="2" t="inlineStr">
        <is>
          <t>Y</t>
        </is>
      </c>
      <c r="Y4" s="2" t="inlineStr">
        <is>
          <t>Normal</t>
        </is>
      </c>
      <c r="Z4" s="2" t="inlineStr">
        <is>
          <t>대구경 anchor 중심 조건 반복. 추후 확보 후 실행</t>
        </is>
      </c>
      <c r="AA4" s="2" t="inlineStr">
        <is>
          <t>미래 추가 런</t>
        </is>
      </c>
      <c r="AB4" s="4" t="n"/>
      <c r="AC4" s="2">
        <f>IF(AB4="","",AB4/G4)</f>
        <v/>
      </c>
      <c r="AD4" s="2">
        <f>IF(AC4="","",LN(AC4))</f>
        <v/>
      </c>
      <c r="AE4" s="4" t="n"/>
      <c r="AF4" s="4" t="n"/>
      <c r="AG4" s="4" t="n"/>
      <c r="AH4" s="4" t="n"/>
    </row>
    <row r="5">
      <c r="A5" s="2" t="n">
        <v>4</v>
      </c>
      <c r="B5" s="2" t="inlineStr">
        <is>
          <t>DHIGH-04</t>
        </is>
      </c>
      <c r="C5" s="2" t="n">
        <v>1</v>
      </c>
      <c r="D5" s="2" t="inlineStr">
        <is>
          <t>Future_Add</t>
        </is>
      </c>
      <c r="E5" s="2" t="inlineStr">
        <is>
          <t>DHIGH</t>
        </is>
      </c>
      <c r="F5" s="2" t="inlineStr">
        <is>
          <t>N</t>
        </is>
      </c>
      <c r="G5" s="2" t="n">
        <v>180</v>
      </c>
      <c r="H5" s="2" t="inlineStr">
        <is>
          <t>HighAnchor_Future_150to180um</t>
        </is>
      </c>
      <c r="I5" s="2" t="inlineStr">
        <is>
          <t>P1_kV</t>
        </is>
      </c>
      <c r="J5" s="2" t="inlineStr">
        <is>
          <t>kV low axial</t>
        </is>
      </c>
      <c r="K5" s="2" t="inlineStr">
        <is>
          <t>Axial_kV_L</t>
        </is>
      </c>
      <c r="L5" s="2" t="inlineStr">
        <is>
          <t>Single</t>
        </is>
      </c>
      <c r="M5" s="2" t="n">
        <v>60</v>
      </c>
      <c r="N5" s="2" t="n">
        <v>1.5</v>
      </c>
      <c r="O5" s="2" t="n">
        <v>64</v>
      </c>
      <c r="P5" s="2" t="n">
        <v>4</v>
      </c>
      <c r="Q5" s="2" t="n">
        <v>-1</v>
      </c>
      <c r="R5" s="2" t="n">
        <v>0</v>
      </c>
      <c r="S5" s="2" t="n">
        <v>0</v>
      </c>
      <c r="T5" s="2" t="n">
        <v>0</v>
      </c>
      <c r="U5" s="2">
        <f>LN(G5)</f>
        <v/>
      </c>
      <c r="V5" s="2" t="inlineStr">
        <is>
          <t>N</t>
        </is>
      </c>
      <c r="W5" s="2" t="inlineStr">
        <is>
          <t>Y</t>
        </is>
      </c>
      <c r="X5" s="2" t="inlineStr">
        <is>
          <t>Y</t>
        </is>
      </c>
      <c r="Y5" s="2" t="inlineStr">
        <is>
          <t>Normal</t>
        </is>
      </c>
      <c r="Z5" s="2" t="inlineStr">
        <is>
          <t>대구경 kV low 확인</t>
        </is>
      </c>
      <c r="AA5" s="2" t="inlineStr">
        <is>
          <t>미래 추가 런</t>
        </is>
      </c>
      <c r="AB5" s="4" t="n"/>
      <c r="AC5" s="2">
        <f>IF(AB5="","",AB5/G5)</f>
        <v/>
      </c>
      <c r="AD5" s="2">
        <f>IF(AC5="","",LN(AC5))</f>
        <v/>
      </c>
      <c r="AE5" s="4" t="n"/>
      <c r="AF5" s="4" t="n"/>
      <c r="AG5" s="4" t="n"/>
      <c r="AH5" s="4" t="n"/>
    </row>
    <row r="6">
      <c r="A6" s="2" t="n">
        <v>5</v>
      </c>
      <c r="B6" s="2" t="inlineStr">
        <is>
          <t>DHIGH-05</t>
        </is>
      </c>
      <c r="C6" s="2" t="n">
        <v>1</v>
      </c>
      <c r="D6" s="2" t="inlineStr">
        <is>
          <t>Future_Add</t>
        </is>
      </c>
      <c r="E6" s="2" t="inlineStr">
        <is>
          <t>DHIGH</t>
        </is>
      </c>
      <c r="F6" s="2" t="inlineStr">
        <is>
          <t>N</t>
        </is>
      </c>
      <c r="G6" s="2" t="n">
        <v>180</v>
      </c>
      <c r="H6" s="2" t="inlineStr">
        <is>
          <t>HighAnchor_Future_150to180um</t>
        </is>
      </c>
      <c r="I6" s="2" t="inlineStr">
        <is>
          <t>P1_kV</t>
        </is>
      </c>
      <c r="J6" s="2" t="inlineStr">
        <is>
          <t>kV high axial</t>
        </is>
      </c>
      <c r="K6" s="2" t="inlineStr">
        <is>
          <t>Axial_kV_H</t>
        </is>
      </c>
      <c r="L6" s="2" t="inlineStr">
        <is>
          <t>Single</t>
        </is>
      </c>
      <c r="M6" s="2" t="n">
        <v>64</v>
      </c>
      <c r="N6" s="2" t="n">
        <v>1.5</v>
      </c>
      <c r="O6" s="2" t="n">
        <v>64</v>
      </c>
      <c r="P6" s="2" t="n">
        <v>4</v>
      </c>
      <c r="Q6" s="2" t="n">
        <v>1</v>
      </c>
      <c r="R6" s="2" t="n">
        <v>0</v>
      </c>
      <c r="S6" s="2" t="n">
        <v>0</v>
      </c>
      <c r="T6" s="2" t="n">
        <v>0</v>
      </c>
      <c r="U6" s="2">
        <f>LN(G6)</f>
        <v/>
      </c>
      <c r="V6" s="2" t="inlineStr">
        <is>
          <t>N</t>
        </is>
      </c>
      <c r="W6" s="2" t="inlineStr">
        <is>
          <t>Y</t>
        </is>
      </c>
      <c r="X6" s="2" t="inlineStr">
        <is>
          <t>Y</t>
        </is>
      </c>
      <c r="Y6" s="2" t="inlineStr">
        <is>
          <t>Normal</t>
        </is>
      </c>
      <c r="Z6" s="2" t="inlineStr">
        <is>
          <t>대구경 kV high 확인</t>
        </is>
      </c>
      <c r="AA6" s="2" t="inlineStr">
        <is>
          <t>미래 추가 런</t>
        </is>
      </c>
      <c r="AB6" s="4" t="n"/>
      <c r="AC6" s="2">
        <f>IF(AB6="","",AB6/G6)</f>
        <v/>
      </c>
      <c r="AD6" s="2">
        <f>IF(AC6="","",LN(AC6))</f>
        <v/>
      </c>
      <c r="AE6" s="4" t="n"/>
      <c r="AF6" s="4" t="n"/>
      <c r="AG6" s="4" t="n"/>
      <c r="AH6" s="4" t="n"/>
    </row>
    <row r="7">
      <c r="A7" s="2" t="n">
        <v>6</v>
      </c>
      <c r="B7" s="2" t="inlineStr">
        <is>
          <t>DHIGH-06</t>
        </is>
      </c>
      <c r="C7" s="2" t="n">
        <v>1</v>
      </c>
      <c r="D7" s="2" t="inlineStr">
        <is>
          <t>Future_Add</t>
        </is>
      </c>
      <c r="E7" s="2" t="inlineStr">
        <is>
          <t>DHIGH</t>
        </is>
      </c>
      <c r="F7" s="2" t="inlineStr">
        <is>
          <t>N</t>
        </is>
      </c>
      <c r="G7" s="2" t="n">
        <v>180</v>
      </c>
      <c r="H7" s="2" t="inlineStr">
        <is>
          <t>HighAnchor_Future_150to180um</t>
        </is>
      </c>
      <c r="I7" s="2" t="inlineStr">
        <is>
          <t>P2_RF</t>
        </is>
      </c>
      <c r="J7" s="2" t="inlineStr">
        <is>
          <t>R low axial</t>
        </is>
      </c>
      <c r="K7" s="2" t="inlineStr">
        <is>
          <t>Axial_R_L</t>
        </is>
      </c>
      <c r="L7" s="2" t="inlineStr">
        <is>
          <t>Single</t>
        </is>
      </c>
      <c r="M7" s="2" t="n">
        <v>62</v>
      </c>
      <c r="N7" s="2" t="n">
        <v>1</v>
      </c>
      <c r="O7" s="2" t="n">
        <v>64</v>
      </c>
      <c r="P7" s="2" t="n">
        <v>4</v>
      </c>
      <c r="Q7" s="2" t="n">
        <v>0</v>
      </c>
      <c r="R7" s="2" t="n">
        <v>-1</v>
      </c>
      <c r="S7" s="2" t="n">
        <v>0</v>
      </c>
      <c r="T7" s="2" t="n">
        <v>0</v>
      </c>
      <c r="U7" s="2">
        <f>LN(G7)</f>
        <v/>
      </c>
      <c r="V7" s="2" t="inlineStr">
        <is>
          <t>N</t>
        </is>
      </c>
      <c r="W7" s="2" t="inlineStr">
        <is>
          <t>Y</t>
        </is>
      </c>
      <c r="X7" s="2" t="inlineStr">
        <is>
          <t>Y</t>
        </is>
      </c>
      <c r="Y7" s="2" t="inlineStr">
        <is>
          <t>Normal</t>
        </is>
      </c>
      <c r="Z7" s="2" t="inlineStr">
        <is>
          <t>대구경 fine R 영향 확인</t>
        </is>
      </c>
      <c r="AA7" s="2" t="inlineStr">
        <is>
          <t>미래 추가 런</t>
        </is>
      </c>
      <c r="AB7" s="4" t="n"/>
      <c r="AC7" s="2">
        <f>IF(AB7="","",AB7/G7)</f>
        <v/>
      </c>
      <c r="AD7" s="2">
        <f>IF(AC7="","",LN(AC7))</f>
        <v/>
      </c>
      <c r="AE7" s="4" t="n"/>
      <c r="AF7" s="4" t="n"/>
      <c r="AG7" s="4" t="n"/>
      <c r="AH7" s="4" t="n"/>
    </row>
    <row r="8">
      <c r="A8" s="2" t="n">
        <v>7</v>
      </c>
      <c r="B8" s="2" t="inlineStr">
        <is>
          <t>DHIGH-07</t>
        </is>
      </c>
      <c r="C8" s="2" t="n">
        <v>1</v>
      </c>
      <c r="D8" s="2" t="inlineStr">
        <is>
          <t>Future_Add</t>
        </is>
      </c>
      <c r="E8" s="2" t="inlineStr">
        <is>
          <t>DHIGH</t>
        </is>
      </c>
      <c r="F8" s="2" t="inlineStr">
        <is>
          <t>N</t>
        </is>
      </c>
      <c r="G8" s="2" t="n">
        <v>180</v>
      </c>
      <c r="H8" s="2" t="inlineStr">
        <is>
          <t>HighAnchor_Future_150to180um</t>
        </is>
      </c>
      <c r="I8" s="2" t="inlineStr">
        <is>
          <t>P2_RF</t>
        </is>
      </c>
      <c r="J8" s="2" t="inlineStr">
        <is>
          <t>R high axial</t>
        </is>
      </c>
      <c r="K8" s="2" t="inlineStr">
        <is>
          <t>Axial_R_H</t>
        </is>
      </c>
      <c r="L8" s="2" t="inlineStr">
        <is>
          <t>Single</t>
        </is>
      </c>
      <c r="M8" s="2" t="n">
        <v>62</v>
      </c>
      <c r="N8" s="2" t="n">
        <v>3</v>
      </c>
      <c r="O8" s="2" t="n">
        <v>64</v>
      </c>
      <c r="P8" s="2" t="n">
        <v>4</v>
      </c>
      <c r="Q8" s="2" t="n">
        <v>0</v>
      </c>
      <c r="R8" s="2" t="n">
        <v>1</v>
      </c>
      <c r="S8" s="2" t="n">
        <v>0</v>
      </c>
      <c r="T8" s="2" t="n">
        <v>0</v>
      </c>
      <c r="U8" s="2">
        <f>LN(G8)</f>
        <v/>
      </c>
      <c r="V8" s="2" t="inlineStr">
        <is>
          <t>N</t>
        </is>
      </c>
      <c r="W8" s="2" t="inlineStr">
        <is>
          <t>Y</t>
        </is>
      </c>
      <c r="X8" s="2" t="inlineStr">
        <is>
          <t>Y</t>
        </is>
      </c>
      <c r="Y8" s="2" t="inlineStr">
        <is>
          <t>Normal</t>
        </is>
      </c>
      <c r="Z8" s="2" t="inlineStr">
        <is>
          <t>대구경 coarse R 영향 확인</t>
        </is>
      </c>
      <c r="AA8" s="2" t="inlineStr">
        <is>
          <t>미래 추가 런</t>
        </is>
      </c>
      <c r="AB8" s="4" t="n"/>
      <c r="AC8" s="2">
        <f>IF(AB8="","",AB8/G8)</f>
        <v/>
      </c>
      <c r="AD8" s="2">
        <f>IF(AC8="","",LN(AC8))</f>
        <v/>
      </c>
      <c r="AE8" s="4" t="n"/>
      <c r="AF8" s="4" t="n"/>
      <c r="AG8" s="4" t="n"/>
      <c r="AH8" s="4" t="n"/>
    </row>
    <row r="9">
      <c r="A9" s="2" t="n">
        <v>8</v>
      </c>
      <c r="B9" s="2" t="inlineStr">
        <is>
          <t>DHIGH-08</t>
        </is>
      </c>
      <c r="C9" s="2" t="n">
        <v>1</v>
      </c>
      <c r="D9" s="2" t="inlineStr">
        <is>
          <t>Future_Add</t>
        </is>
      </c>
      <c r="E9" s="2" t="inlineStr">
        <is>
          <t>DHIGH</t>
        </is>
      </c>
      <c r="F9" s="2" t="inlineStr">
        <is>
          <t>N</t>
        </is>
      </c>
      <c r="G9" s="2" t="n">
        <v>180</v>
      </c>
      <c r="H9" s="2" t="inlineStr">
        <is>
          <t>HighAnchor_Future_150to180um</t>
        </is>
      </c>
      <c r="I9" s="2" t="inlineStr">
        <is>
          <t>P2_RF</t>
        </is>
      </c>
      <c r="J9" s="2" t="inlineStr">
        <is>
          <t>F low axial</t>
        </is>
      </c>
      <c r="K9" s="2" t="inlineStr">
        <is>
          <t>Axial_F_L</t>
        </is>
      </c>
      <c r="L9" s="2" t="inlineStr">
        <is>
          <t>Single</t>
        </is>
      </c>
      <c r="M9" s="2" t="n">
        <v>62</v>
      </c>
      <c r="N9" s="2" t="n">
        <v>1.5</v>
      </c>
      <c r="O9" s="2" t="n">
        <v>32</v>
      </c>
      <c r="P9" s="2" t="n">
        <v>4</v>
      </c>
      <c r="Q9" s="2" t="n">
        <v>0</v>
      </c>
      <c r="R9" s="2" t="n">
        <v>0</v>
      </c>
      <c r="S9" s="2" t="n">
        <v>-1</v>
      </c>
      <c r="T9" s="2" t="n">
        <v>0</v>
      </c>
      <c r="U9" s="2">
        <f>LN(G9)</f>
        <v/>
      </c>
      <c r="V9" s="2" t="inlineStr">
        <is>
          <t>N</t>
        </is>
      </c>
      <c r="W9" s="2" t="inlineStr">
        <is>
          <t>Y</t>
        </is>
      </c>
      <c r="X9" s="2" t="inlineStr">
        <is>
          <t>Y</t>
        </is>
      </c>
      <c r="Y9" s="2" t="inlineStr">
        <is>
          <t>Normal</t>
        </is>
      </c>
      <c r="Z9" s="2" t="inlineStr">
        <is>
          <t>대구경 F32 하한/time saving 확인</t>
        </is>
      </c>
      <c r="AA9" s="2" t="inlineStr">
        <is>
          <t>미래 추가 런</t>
        </is>
      </c>
      <c r="AB9" s="4" t="n"/>
      <c r="AC9" s="2">
        <f>IF(AB9="","",AB9/G9)</f>
        <v/>
      </c>
      <c r="AD9" s="2">
        <f>IF(AC9="","",LN(AC9))</f>
        <v/>
      </c>
      <c r="AE9" s="4" t="n"/>
      <c r="AF9" s="4" t="n"/>
      <c r="AG9" s="4" t="n"/>
      <c r="AH9" s="4" t="n"/>
    </row>
    <row r="10">
      <c r="A10" s="2" t="n">
        <v>9</v>
      </c>
      <c r="B10" s="2" t="inlineStr">
        <is>
          <t>DHIGH-09</t>
        </is>
      </c>
      <c r="C10" s="2" t="n">
        <v>1</v>
      </c>
      <c r="D10" s="2" t="inlineStr">
        <is>
          <t>Future_Add</t>
        </is>
      </c>
      <c r="E10" s="2" t="inlineStr">
        <is>
          <t>DHIGH</t>
        </is>
      </c>
      <c r="F10" s="2" t="inlineStr">
        <is>
          <t>N</t>
        </is>
      </c>
      <c r="G10" s="2" t="n">
        <v>180</v>
      </c>
      <c r="H10" s="2" t="inlineStr">
        <is>
          <t>HighAnchor_Future_150to180um</t>
        </is>
      </c>
      <c r="I10" s="2" t="inlineStr">
        <is>
          <t>P2_RF</t>
        </is>
      </c>
      <c r="J10" s="2" t="inlineStr">
        <is>
          <t>F high axial</t>
        </is>
      </c>
      <c r="K10" s="2" t="inlineStr">
        <is>
          <t>Axial_F_H</t>
        </is>
      </c>
      <c r="L10" s="2" t="inlineStr">
        <is>
          <t>Single</t>
        </is>
      </c>
      <c r="M10" s="2" t="n">
        <v>62</v>
      </c>
      <c r="N10" s="2" t="n">
        <v>1.5</v>
      </c>
      <c r="O10" s="2" t="n">
        <v>128</v>
      </c>
      <c r="P10" s="2" t="n">
        <v>4</v>
      </c>
      <c r="Q10" s="2" t="n">
        <v>0</v>
      </c>
      <c r="R10" s="2" t="n">
        <v>0</v>
      </c>
      <c r="S10" s="2" t="n">
        <v>1</v>
      </c>
      <c r="T10" s="2" t="n">
        <v>0</v>
      </c>
      <c r="U10" s="2">
        <f>LN(G10)</f>
        <v/>
      </c>
      <c r="V10" s="2" t="inlineStr">
        <is>
          <t>N</t>
        </is>
      </c>
      <c r="W10" s="2" t="inlineStr">
        <is>
          <t>Y</t>
        </is>
      </c>
      <c r="X10" s="2" t="inlineStr">
        <is>
          <t>Y</t>
        </is>
      </c>
      <c r="Y10" s="2" t="inlineStr">
        <is>
          <t>Normal</t>
        </is>
      </c>
      <c r="Z10" s="2" t="inlineStr">
        <is>
          <t>대구경 F128 high 확인</t>
        </is>
      </c>
      <c r="AA10" s="2" t="inlineStr">
        <is>
          <t>미래 추가 런</t>
        </is>
      </c>
      <c r="AB10" s="4" t="n"/>
      <c r="AC10" s="2">
        <f>IF(AB10="","",AB10/G10)</f>
        <v/>
      </c>
      <c r="AD10" s="2">
        <f>IF(AC10="","",LN(AC10))</f>
        <v/>
      </c>
      <c r="AE10" s="4" t="n"/>
      <c r="AF10" s="4" t="n"/>
      <c r="AG10" s="4" t="n"/>
      <c r="AH10" s="4" t="n"/>
    </row>
    <row r="11">
      <c r="A11" s="2" t="n">
        <v>10</v>
      </c>
      <c r="B11" s="2" t="inlineStr">
        <is>
          <t>DHIGH-10</t>
        </is>
      </c>
      <c r="C11" s="2" t="n">
        <v>1</v>
      </c>
      <c r="D11" s="2" t="inlineStr">
        <is>
          <t>Future_Add</t>
        </is>
      </c>
      <c r="E11" s="2" t="inlineStr">
        <is>
          <t>DHIGH</t>
        </is>
      </c>
      <c r="F11" s="2" t="inlineStr">
        <is>
          <t>N</t>
        </is>
      </c>
      <c r="G11" s="2" t="n">
        <v>180</v>
      </c>
      <c r="H11" s="2" t="inlineStr">
        <is>
          <t>HighAnchor_Future_150to180um</t>
        </is>
      </c>
      <c r="I11" s="2" t="inlineStr">
        <is>
          <t>P3_W</t>
        </is>
      </c>
      <c r="J11" s="2" t="inlineStr">
        <is>
          <t>W high axial</t>
        </is>
      </c>
      <c r="K11" s="2" t="inlineStr">
        <is>
          <t>Axial_W_H</t>
        </is>
      </c>
      <c r="L11" s="2" t="inlineStr">
        <is>
          <t>Single</t>
        </is>
      </c>
      <c r="M11" s="2" t="n">
        <v>62</v>
      </c>
      <c r="N11" s="2" t="n">
        <v>1.5</v>
      </c>
      <c r="O11" s="2" t="n">
        <v>64</v>
      </c>
      <c r="P11" s="2" t="n">
        <v>6</v>
      </c>
      <c r="Q11" s="2" t="n">
        <v>0</v>
      </c>
      <c r="R11" s="2" t="n">
        <v>0</v>
      </c>
      <c r="S11" s="2" t="n">
        <v>0</v>
      </c>
      <c r="T11" s="2" t="n">
        <v>1</v>
      </c>
      <c r="U11" s="2">
        <f>LN(G11)</f>
        <v/>
      </c>
      <c r="V11" s="2" t="inlineStr">
        <is>
          <t>N</t>
        </is>
      </c>
      <c r="W11" s="2" t="inlineStr">
        <is>
          <t>Y</t>
        </is>
      </c>
      <c r="X11" s="2" t="inlineStr">
        <is>
          <t>Y</t>
        </is>
      </c>
      <c r="Y11" s="2" t="inlineStr">
        <is>
          <t>Normal</t>
        </is>
      </c>
      <c r="Z11" s="2" t="inlineStr">
        <is>
          <t>대구경 W 상승 효과 확인</t>
        </is>
      </c>
      <c r="AA11" s="2" t="inlineStr">
        <is>
          <t>미래 추가 런</t>
        </is>
      </c>
      <c r="AB11" s="4" t="n"/>
      <c r="AC11" s="2">
        <f>IF(AB11="","",AB11/G11)</f>
        <v/>
      </c>
      <c r="AD11" s="2">
        <f>IF(AC11="","",LN(AC11))</f>
        <v/>
      </c>
      <c r="AE11" s="4" t="n"/>
      <c r="AF11" s="4" t="n"/>
      <c r="AG11" s="4" t="n"/>
      <c r="AH11" s="4" t="n"/>
    </row>
    <row r="12">
      <c r="A12" s="2" t="n">
        <v>11</v>
      </c>
      <c r="B12" s="2" t="inlineStr">
        <is>
          <t>DHIGH-11</t>
        </is>
      </c>
      <c r="C12" s="2" t="n">
        <v>1</v>
      </c>
      <c r="D12" s="2" t="inlineStr">
        <is>
          <t>Future_Add</t>
        </is>
      </c>
      <c r="E12" s="2" t="inlineStr">
        <is>
          <t>DHIGH</t>
        </is>
      </c>
      <c r="F12" s="2" t="inlineStr">
        <is>
          <t>N</t>
        </is>
      </c>
      <c r="G12" s="2" t="n">
        <v>180</v>
      </c>
      <c r="H12" s="2" t="inlineStr">
        <is>
          <t>HighAnchor_Future_150to180um</t>
        </is>
      </c>
      <c r="I12" s="2" t="inlineStr">
        <is>
          <t>P3_W</t>
        </is>
      </c>
      <c r="J12" s="2" t="inlineStr">
        <is>
          <t>R high W high guard</t>
        </is>
      </c>
      <c r="K12" s="2" t="inlineStr">
        <is>
          <t>R_W_guard</t>
        </is>
      </c>
      <c r="L12" s="2" t="inlineStr">
        <is>
          <t>Single</t>
        </is>
      </c>
      <c r="M12" s="2" t="n">
        <v>62</v>
      </c>
      <c r="N12" s="2" t="n">
        <v>3</v>
      </c>
      <c r="O12" s="2" t="n">
        <v>64</v>
      </c>
      <c r="P12" s="2" t="n">
        <v>6</v>
      </c>
      <c r="Q12" s="2" t="n">
        <v>0</v>
      </c>
      <c r="R12" s="2" t="n">
        <v>1</v>
      </c>
      <c r="S12" s="2" t="n">
        <v>0</v>
      </c>
      <c r="T12" s="2" t="n">
        <v>1</v>
      </c>
      <c r="U12" s="2">
        <f>LN(G12)</f>
        <v/>
      </c>
      <c r="V12" s="2" t="inlineStr">
        <is>
          <t>N</t>
        </is>
      </c>
      <c r="W12" s="2" t="inlineStr">
        <is>
          <t>Y</t>
        </is>
      </c>
      <c r="X12" s="2" t="inlineStr">
        <is>
          <t>Y</t>
        </is>
      </c>
      <c r="Y12" s="2" t="inlineStr">
        <is>
          <t>Normal</t>
        </is>
      </c>
      <c r="Z12" s="2" t="inlineStr">
        <is>
          <t>대구경 coarse R를 W 상승으로 보완 가능한지 확인</t>
        </is>
      </c>
      <c r="AA12" s="2" t="inlineStr">
        <is>
          <t>미래 추가 런</t>
        </is>
      </c>
      <c r="AB12" s="4" t="n"/>
      <c r="AC12" s="2">
        <f>IF(AB12="","",AB12/G12)</f>
        <v/>
      </c>
      <c r="AD12" s="2">
        <f>IF(AC12="","",LN(AC12))</f>
        <v/>
      </c>
      <c r="AE12" s="4" t="n"/>
      <c r="AF12" s="4" t="n"/>
      <c r="AG12" s="4" t="n"/>
      <c r="AH12" s="4" t="n"/>
    </row>
    <row r="13">
      <c r="A13" s="2" t="n">
        <v>12</v>
      </c>
      <c r="B13" s="2" t="inlineStr">
        <is>
          <t>DHIGH-12</t>
        </is>
      </c>
      <c r="C13" s="2" t="n">
        <v>1</v>
      </c>
      <c r="D13" s="2" t="inlineStr">
        <is>
          <t>Future_Add</t>
        </is>
      </c>
      <c r="E13" s="2" t="inlineStr">
        <is>
          <t>DHIGH</t>
        </is>
      </c>
      <c r="F13" s="2" t="inlineStr">
        <is>
          <t>N</t>
        </is>
      </c>
      <c r="G13" s="2" t="n">
        <v>180</v>
      </c>
      <c r="H13" s="2" t="inlineStr">
        <is>
          <t>HighAnchor_Future_150to180um</t>
        </is>
      </c>
      <c r="I13" s="2" t="inlineStr">
        <is>
          <t>P2P3_2FI</t>
        </is>
      </c>
      <c r="J13" s="2" t="inlineStr">
        <is>
          <t>Half-fraction interaction</t>
        </is>
      </c>
      <c r="K13" s="2" t="inlineStr">
        <is>
          <t>Interaction</t>
        </is>
      </c>
      <c r="L13" s="2" t="inlineStr">
        <is>
          <t>Single</t>
        </is>
      </c>
      <c r="M13" s="2" t="n">
        <v>60</v>
      </c>
      <c r="N13" s="2" t="n">
        <v>1</v>
      </c>
      <c r="O13" s="2" t="n">
        <v>32</v>
      </c>
      <c r="P13" s="2" t="n">
        <v>4</v>
      </c>
      <c r="Q13" s="2" t="n">
        <v>-1</v>
      </c>
      <c r="R13" s="2" t="n">
        <v>-1</v>
      </c>
      <c r="S13" s="2" t="n">
        <v>-1</v>
      </c>
      <c r="T13" s="2" t="n">
        <v>-1</v>
      </c>
      <c r="U13" s="2">
        <f>LN(G13)</f>
        <v/>
      </c>
      <c r="V13" s="2" t="inlineStr">
        <is>
          <t>N</t>
        </is>
      </c>
      <c r="W13" s="2" t="inlineStr">
        <is>
          <t>Y</t>
        </is>
      </c>
      <c r="X13" s="2" t="inlineStr">
        <is>
          <t>Y</t>
        </is>
      </c>
      <c r="Y13" s="2" t="inlineStr">
        <is>
          <t>Normal</t>
        </is>
      </c>
      <c r="Z13" s="2" t="inlineStr">
        <is>
          <t>대구경 kV/R/F/W 교호작용 점. D26/D86과 동일 구조로 추후 추가</t>
        </is>
      </c>
      <c r="AA13" s="2" t="inlineStr">
        <is>
          <t>미래 추가 런</t>
        </is>
      </c>
      <c r="AB13" s="4" t="n"/>
      <c r="AC13" s="2">
        <f>IF(AB13="","",AB13/G13)</f>
        <v/>
      </c>
      <c r="AD13" s="2">
        <f>IF(AC13="","",LN(AC13))</f>
        <v/>
      </c>
      <c r="AE13" s="4" t="n"/>
      <c r="AF13" s="4" t="n"/>
      <c r="AG13" s="4" t="n"/>
      <c r="AH13" s="4" t="n"/>
    </row>
    <row r="14">
      <c r="A14" s="2" t="n">
        <v>13</v>
      </c>
      <c r="B14" s="2" t="inlineStr">
        <is>
          <t>DHIGH-13</t>
        </is>
      </c>
      <c r="C14" s="2" t="n">
        <v>1</v>
      </c>
      <c r="D14" s="2" t="inlineStr">
        <is>
          <t>Future_Add</t>
        </is>
      </c>
      <c r="E14" s="2" t="inlineStr">
        <is>
          <t>DHIGH</t>
        </is>
      </c>
      <c r="F14" s="2" t="inlineStr">
        <is>
          <t>N</t>
        </is>
      </c>
      <c r="G14" s="2" t="n">
        <v>180</v>
      </c>
      <c r="H14" s="2" t="inlineStr">
        <is>
          <t>HighAnchor_Future_150to180um</t>
        </is>
      </c>
      <c r="I14" s="2" t="inlineStr">
        <is>
          <t>P2P3_2FI</t>
        </is>
      </c>
      <c r="J14" s="2" t="inlineStr">
        <is>
          <t>Half-fraction interaction</t>
        </is>
      </c>
      <c r="K14" s="2" t="inlineStr">
        <is>
          <t>Interaction</t>
        </is>
      </c>
      <c r="L14" s="2" t="inlineStr">
        <is>
          <t>Single</t>
        </is>
      </c>
      <c r="M14" s="2" t="n">
        <v>60</v>
      </c>
      <c r="N14" s="2" t="n">
        <v>1</v>
      </c>
      <c r="O14" s="2" t="n">
        <v>128</v>
      </c>
      <c r="P14" s="2" t="n">
        <v>6</v>
      </c>
      <c r="Q14" s="2" t="n">
        <v>-1</v>
      </c>
      <c r="R14" s="2" t="n">
        <v>-1</v>
      </c>
      <c r="S14" s="2" t="n">
        <v>1</v>
      </c>
      <c r="T14" s="2" t="n">
        <v>1</v>
      </c>
      <c r="U14" s="2">
        <f>LN(G14)</f>
        <v/>
      </c>
      <c r="V14" s="2" t="inlineStr">
        <is>
          <t>N</t>
        </is>
      </c>
      <c r="W14" s="2" t="inlineStr">
        <is>
          <t>Y</t>
        </is>
      </c>
      <c r="X14" s="2" t="inlineStr">
        <is>
          <t>Y</t>
        </is>
      </c>
      <c r="Y14" s="2" t="inlineStr">
        <is>
          <t>Normal</t>
        </is>
      </c>
      <c r="Z14" s="2" t="inlineStr">
        <is>
          <t>대구경 kV/R/F/W 교호작용 점. D26/D86과 동일 구조로 추후 추가</t>
        </is>
      </c>
      <c r="AA14" s="2" t="inlineStr">
        <is>
          <t>미래 추가 런</t>
        </is>
      </c>
      <c r="AB14" s="4" t="n"/>
      <c r="AC14" s="2">
        <f>IF(AB14="","",AB14/G14)</f>
        <v/>
      </c>
      <c r="AD14" s="2">
        <f>IF(AC14="","",LN(AC14))</f>
        <v/>
      </c>
      <c r="AE14" s="4" t="n"/>
      <c r="AF14" s="4" t="n"/>
      <c r="AG14" s="4" t="n"/>
      <c r="AH14" s="4" t="n"/>
    </row>
    <row r="15">
      <c r="A15" s="2" t="n">
        <v>14</v>
      </c>
      <c r="B15" s="2" t="inlineStr">
        <is>
          <t>DHIGH-14</t>
        </is>
      </c>
      <c r="C15" s="2" t="n">
        <v>1</v>
      </c>
      <c r="D15" s="2" t="inlineStr">
        <is>
          <t>Future_Add</t>
        </is>
      </c>
      <c r="E15" s="2" t="inlineStr">
        <is>
          <t>DHIGH</t>
        </is>
      </c>
      <c r="F15" s="2" t="inlineStr">
        <is>
          <t>N</t>
        </is>
      </c>
      <c r="G15" s="2" t="n">
        <v>180</v>
      </c>
      <c r="H15" s="2" t="inlineStr">
        <is>
          <t>HighAnchor_Future_150to180um</t>
        </is>
      </c>
      <c r="I15" s="2" t="inlineStr">
        <is>
          <t>P2P3_2FI</t>
        </is>
      </c>
      <c r="J15" s="2" t="inlineStr">
        <is>
          <t>Half-fraction interaction</t>
        </is>
      </c>
      <c r="K15" s="2" t="inlineStr">
        <is>
          <t>Interaction</t>
        </is>
      </c>
      <c r="L15" s="2" t="inlineStr">
        <is>
          <t>Single</t>
        </is>
      </c>
      <c r="M15" s="2" t="n">
        <v>60</v>
      </c>
      <c r="N15" s="2" t="n">
        <v>3</v>
      </c>
      <c r="O15" s="2" t="n">
        <v>32</v>
      </c>
      <c r="P15" s="2" t="n">
        <v>6</v>
      </c>
      <c r="Q15" s="2" t="n">
        <v>-1</v>
      </c>
      <c r="R15" s="2" t="n">
        <v>1</v>
      </c>
      <c r="S15" s="2" t="n">
        <v>-1</v>
      </c>
      <c r="T15" s="2" t="n">
        <v>1</v>
      </c>
      <c r="U15" s="2">
        <f>LN(G15)</f>
        <v/>
      </c>
      <c r="V15" s="2" t="inlineStr">
        <is>
          <t>N</t>
        </is>
      </c>
      <c r="W15" s="2" t="inlineStr">
        <is>
          <t>Y</t>
        </is>
      </c>
      <c r="X15" s="2" t="inlineStr">
        <is>
          <t>Y</t>
        </is>
      </c>
      <c r="Y15" s="2" t="inlineStr">
        <is>
          <t>Normal</t>
        </is>
      </c>
      <c r="Z15" s="2" t="inlineStr">
        <is>
          <t>대구경 kV/R/F/W 교호작용 점. D26/D86과 동일 구조로 추후 추가</t>
        </is>
      </c>
      <c r="AA15" s="2" t="inlineStr">
        <is>
          <t>미래 추가 런</t>
        </is>
      </c>
      <c r="AB15" s="4" t="n"/>
      <c r="AC15" s="2">
        <f>IF(AB15="","",AB15/G15)</f>
        <v/>
      </c>
      <c r="AD15" s="2">
        <f>IF(AC15="","",LN(AC15))</f>
        <v/>
      </c>
      <c r="AE15" s="4" t="n"/>
      <c r="AF15" s="4" t="n"/>
      <c r="AG15" s="4" t="n"/>
      <c r="AH15" s="4" t="n"/>
    </row>
    <row r="16">
      <c r="A16" s="2" t="n">
        <v>15</v>
      </c>
      <c r="B16" s="2" t="inlineStr">
        <is>
          <t>DHIGH-15</t>
        </is>
      </c>
      <c r="C16" s="2" t="n">
        <v>1</v>
      </c>
      <c r="D16" s="2" t="inlineStr">
        <is>
          <t>Future_Add</t>
        </is>
      </c>
      <c r="E16" s="2" t="inlineStr">
        <is>
          <t>DHIGH</t>
        </is>
      </c>
      <c r="F16" s="2" t="inlineStr">
        <is>
          <t>N</t>
        </is>
      </c>
      <c r="G16" s="2" t="n">
        <v>180</v>
      </c>
      <c r="H16" s="2" t="inlineStr">
        <is>
          <t>HighAnchor_Future_150to180um</t>
        </is>
      </c>
      <c r="I16" s="2" t="inlineStr">
        <is>
          <t>P2P3_2FI</t>
        </is>
      </c>
      <c r="J16" s="2" t="inlineStr">
        <is>
          <t>Half-fraction interaction</t>
        </is>
      </c>
      <c r="K16" s="2" t="inlineStr">
        <is>
          <t>Interaction</t>
        </is>
      </c>
      <c r="L16" s="2" t="inlineStr">
        <is>
          <t>Single</t>
        </is>
      </c>
      <c r="M16" s="2" t="n">
        <v>60</v>
      </c>
      <c r="N16" s="2" t="n">
        <v>3</v>
      </c>
      <c r="O16" s="2" t="n">
        <v>128</v>
      </c>
      <c r="P16" s="2" t="n">
        <v>4</v>
      </c>
      <c r="Q16" s="2" t="n">
        <v>-1</v>
      </c>
      <c r="R16" s="2" t="n">
        <v>1</v>
      </c>
      <c r="S16" s="2" t="n">
        <v>1</v>
      </c>
      <c r="T16" s="2" t="n">
        <v>-1</v>
      </c>
      <c r="U16" s="2">
        <f>LN(G16)</f>
        <v/>
      </c>
      <c r="V16" s="2" t="inlineStr">
        <is>
          <t>N</t>
        </is>
      </c>
      <c r="W16" s="2" t="inlineStr">
        <is>
          <t>Y</t>
        </is>
      </c>
      <c r="X16" s="2" t="inlineStr">
        <is>
          <t>Y</t>
        </is>
      </c>
      <c r="Y16" s="2" t="inlineStr">
        <is>
          <t>Normal</t>
        </is>
      </c>
      <c r="Z16" s="2" t="inlineStr">
        <is>
          <t>대구경 kV/R/F/W 교호작용 점. D26/D86과 동일 구조로 추후 추가</t>
        </is>
      </c>
      <c r="AA16" s="2" t="inlineStr">
        <is>
          <t>미래 추가 런</t>
        </is>
      </c>
      <c r="AB16" s="4" t="n"/>
      <c r="AC16" s="2">
        <f>IF(AB16="","",AB16/G16)</f>
        <v/>
      </c>
      <c r="AD16" s="2">
        <f>IF(AC16="","",LN(AC16))</f>
        <v/>
      </c>
      <c r="AE16" s="4" t="n"/>
      <c r="AF16" s="4" t="n"/>
      <c r="AG16" s="4" t="n"/>
      <c r="AH16" s="4" t="n"/>
    </row>
    <row r="17">
      <c r="A17" s="2" t="n">
        <v>16</v>
      </c>
      <c r="B17" s="2" t="inlineStr">
        <is>
          <t>DHIGH-16</t>
        </is>
      </c>
      <c r="C17" s="2" t="n">
        <v>1</v>
      </c>
      <c r="D17" s="2" t="inlineStr">
        <is>
          <t>Future_Add</t>
        </is>
      </c>
      <c r="E17" s="2" t="inlineStr">
        <is>
          <t>DHIGH</t>
        </is>
      </c>
      <c r="F17" s="2" t="inlineStr">
        <is>
          <t>N</t>
        </is>
      </c>
      <c r="G17" s="2" t="n">
        <v>180</v>
      </c>
      <c r="H17" s="2" t="inlineStr">
        <is>
          <t>HighAnchor_Future_150to180um</t>
        </is>
      </c>
      <c r="I17" s="2" t="inlineStr">
        <is>
          <t>P2P3_2FI</t>
        </is>
      </c>
      <c r="J17" s="2" t="inlineStr">
        <is>
          <t>Half-fraction interaction</t>
        </is>
      </c>
      <c r="K17" s="2" t="inlineStr">
        <is>
          <t>Interaction</t>
        </is>
      </c>
      <c r="L17" s="2" t="inlineStr">
        <is>
          <t>Single</t>
        </is>
      </c>
      <c r="M17" s="2" t="n">
        <v>64</v>
      </c>
      <c r="N17" s="2" t="n">
        <v>1</v>
      </c>
      <c r="O17" s="2" t="n">
        <v>32</v>
      </c>
      <c r="P17" s="2" t="n">
        <v>6</v>
      </c>
      <c r="Q17" s="2" t="n">
        <v>1</v>
      </c>
      <c r="R17" s="2" t="n">
        <v>-1</v>
      </c>
      <c r="S17" s="2" t="n">
        <v>-1</v>
      </c>
      <c r="T17" s="2" t="n">
        <v>1</v>
      </c>
      <c r="U17" s="2">
        <f>LN(G17)</f>
        <v/>
      </c>
      <c r="V17" s="2" t="inlineStr">
        <is>
          <t>N</t>
        </is>
      </c>
      <c r="W17" s="2" t="inlineStr">
        <is>
          <t>Y</t>
        </is>
      </c>
      <c r="X17" s="2" t="inlineStr">
        <is>
          <t>Y</t>
        </is>
      </c>
      <c r="Y17" s="2" t="inlineStr">
        <is>
          <t>Normal</t>
        </is>
      </c>
      <c r="Z17" s="2" t="inlineStr">
        <is>
          <t>대구경 kV/R/F/W 교호작용 점. D26/D86과 동일 구조로 추후 추가</t>
        </is>
      </c>
      <c r="AA17" s="2" t="inlineStr">
        <is>
          <t>미래 추가 런</t>
        </is>
      </c>
      <c r="AB17" s="4" t="n"/>
      <c r="AC17" s="2">
        <f>IF(AB17="","",AB17/G17)</f>
        <v/>
      </c>
      <c r="AD17" s="2">
        <f>IF(AC17="","",LN(AC17))</f>
        <v/>
      </c>
      <c r="AE17" s="4" t="n"/>
      <c r="AF17" s="4" t="n"/>
      <c r="AG17" s="4" t="n"/>
      <c r="AH17" s="4" t="n"/>
    </row>
    <row r="18">
      <c r="A18" s="2" t="n">
        <v>17</v>
      </c>
      <c r="B18" s="2" t="inlineStr">
        <is>
          <t>DHIGH-17</t>
        </is>
      </c>
      <c r="C18" s="2" t="n">
        <v>1</v>
      </c>
      <c r="D18" s="2" t="inlineStr">
        <is>
          <t>Future_Add</t>
        </is>
      </c>
      <c r="E18" s="2" t="inlineStr">
        <is>
          <t>DHIGH</t>
        </is>
      </c>
      <c r="F18" s="2" t="inlineStr">
        <is>
          <t>N</t>
        </is>
      </c>
      <c r="G18" s="2" t="n">
        <v>180</v>
      </c>
      <c r="H18" s="2" t="inlineStr">
        <is>
          <t>HighAnchor_Future_150to180um</t>
        </is>
      </c>
      <c r="I18" s="2" t="inlineStr">
        <is>
          <t>P2P3_2FI</t>
        </is>
      </c>
      <c r="J18" s="2" t="inlineStr">
        <is>
          <t>Half-fraction interaction</t>
        </is>
      </c>
      <c r="K18" s="2" t="inlineStr">
        <is>
          <t>Interaction</t>
        </is>
      </c>
      <c r="L18" s="2" t="inlineStr">
        <is>
          <t>Single</t>
        </is>
      </c>
      <c r="M18" s="2" t="n">
        <v>64</v>
      </c>
      <c r="N18" s="2" t="n">
        <v>1</v>
      </c>
      <c r="O18" s="2" t="n">
        <v>128</v>
      </c>
      <c r="P18" s="2" t="n">
        <v>4</v>
      </c>
      <c r="Q18" s="2" t="n">
        <v>1</v>
      </c>
      <c r="R18" s="2" t="n">
        <v>-1</v>
      </c>
      <c r="S18" s="2" t="n">
        <v>1</v>
      </c>
      <c r="T18" s="2" t="n">
        <v>-1</v>
      </c>
      <c r="U18" s="2">
        <f>LN(G18)</f>
        <v/>
      </c>
      <c r="V18" s="2" t="inlineStr">
        <is>
          <t>N</t>
        </is>
      </c>
      <c r="W18" s="2" t="inlineStr">
        <is>
          <t>Y</t>
        </is>
      </c>
      <c r="X18" s="2" t="inlineStr">
        <is>
          <t>Y</t>
        </is>
      </c>
      <c r="Y18" s="2" t="inlineStr">
        <is>
          <t>Normal</t>
        </is>
      </c>
      <c r="Z18" s="2" t="inlineStr">
        <is>
          <t>대구경 kV/R/F/W 교호작용 점. D26/D86과 동일 구조로 추후 추가</t>
        </is>
      </c>
      <c r="AA18" s="2" t="inlineStr">
        <is>
          <t>미래 추가 런</t>
        </is>
      </c>
      <c r="AB18" s="4" t="n"/>
      <c r="AC18" s="2">
        <f>IF(AB18="","",AB18/G18)</f>
        <v/>
      </c>
      <c r="AD18" s="2">
        <f>IF(AC18="","",LN(AC18))</f>
        <v/>
      </c>
      <c r="AE18" s="4" t="n"/>
      <c r="AF18" s="4" t="n"/>
      <c r="AG18" s="4" t="n"/>
      <c r="AH18" s="4" t="n"/>
    </row>
    <row r="19">
      <c r="A19" s="2" t="n">
        <v>18</v>
      </c>
      <c r="B19" s="2" t="inlineStr">
        <is>
          <t>DHIGH-18</t>
        </is>
      </c>
      <c r="C19" s="2" t="n">
        <v>1</v>
      </c>
      <c r="D19" s="2" t="inlineStr">
        <is>
          <t>Future_Add</t>
        </is>
      </c>
      <c r="E19" s="2" t="inlineStr">
        <is>
          <t>DHIGH</t>
        </is>
      </c>
      <c r="F19" s="2" t="inlineStr">
        <is>
          <t>N</t>
        </is>
      </c>
      <c r="G19" s="2" t="n">
        <v>180</v>
      </c>
      <c r="H19" s="2" t="inlineStr">
        <is>
          <t>HighAnchor_Future_150to180um</t>
        </is>
      </c>
      <c r="I19" s="2" t="inlineStr">
        <is>
          <t>P2P3_2FI</t>
        </is>
      </c>
      <c r="J19" s="2" t="inlineStr">
        <is>
          <t>Half-fraction interaction</t>
        </is>
      </c>
      <c r="K19" s="2" t="inlineStr">
        <is>
          <t>Interaction</t>
        </is>
      </c>
      <c r="L19" s="2" t="inlineStr">
        <is>
          <t>Single</t>
        </is>
      </c>
      <c r="M19" s="2" t="n">
        <v>64</v>
      </c>
      <c r="N19" s="2" t="n">
        <v>3</v>
      </c>
      <c r="O19" s="2" t="n">
        <v>32</v>
      </c>
      <c r="P19" s="2" t="n">
        <v>4</v>
      </c>
      <c r="Q19" s="2" t="n">
        <v>1</v>
      </c>
      <c r="R19" s="2" t="n">
        <v>1</v>
      </c>
      <c r="S19" s="2" t="n">
        <v>-1</v>
      </c>
      <c r="T19" s="2" t="n">
        <v>-1</v>
      </c>
      <c r="U19" s="2">
        <f>LN(G19)</f>
        <v/>
      </c>
      <c r="V19" s="2" t="inlineStr">
        <is>
          <t>N</t>
        </is>
      </c>
      <c r="W19" s="2" t="inlineStr">
        <is>
          <t>Y</t>
        </is>
      </c>
      <c r="X19" s="2" t="inlineStr">
        <is>
          <t>Y</t>
        </is>
      </c>
      <c r="Y19" s="2" t="inlineStr">
        <is>
          <t>Normal</t>
        </is>
      </c>
      <c r="Z19" s="2" t="inlineStr">
        <is>
          <t>대구경 kV/R/F/W 교호작용 점. D26/D86과 동일 구조로 추후 추가</t>
        </is>
      </c>
      <c r="AA19" s="2" t="inlineStr">
        <is>
          <t>미래 추가 런</t>
        </is>
      </c>
      <c r="AB19" s="4" t="n"/>
      <c r="AC19" s="2">
        <f>IF(AB19="","",AB19/G19)</f>
        <v/>
      </c>
      <c r="AD19" s="2">
        <f>IF(AC19="","",LN(AC19))</f>
        <v/>
      </c>
      <c r="AE19" s="4" t="n"/>
      <c r="AF19" s="4" t="n"/>
      <c r="AG19" s="4" t="n"/>
      <c r="AH19" s="4" t="n"/>
    </row>
    <row r="20">
      <c r="A20" s="2" t="n">
        <v>19</v>
      </c>
      <c r="B20" s="2" t="inlineStr">
        <is>
          <t>DHIGH-19</t>
        </is>
      </c>
      <c r="C20" s="2" t="n">
        <v>1</v>
      </c>
      <c r="D20" s="2" t="inlineStr">
        <is>
          <t>Future_Add</t>
        </is>
      </c>
      <c r="E20" s="2" t="inlineStr">
        <is>
          <t>DHIGH</t>
        </is>
      </c>
      <c r="F20" s="2" t="inlineStr">
        <is>
          <t>N</t>
        </is>
      </c>
      <c r="G20" s="2" t="n">
        <v>180</v>
      </c>
      <c r="H20" s="2" t="inlineStr">
        <is>
          <t>HighAnchor_Future_150to180um</t>
        </is>
      </c>
      <c r="I20" s="2" t="inlineStr">
        <is>
          <t>P2P3_2FI</t>
        </is>
      </c>
      <c r="J20" s="2" t="inlineStr">
        <is>
          <t>Half-fraction interaction</t>
        </is>
      </c>
      <c r="K20" s="2" t="inlineStr">
        <is>
          <t>Interaction</t>
        </is>
      </c>
      <c r="L20" s="2" t="inlineStr">
        <is>
          <t>Single</t>
        </is>
      </c>
      <c r="M20" s="2" t="n">
        <v>64</v>
      </c>
      <c r="N20" s="2" t="n">
        <v>3</v>
      </c>
      <c r="O20" s="2" t="n">
        <v>128</v>
      </c>
      <c r="P20" s="2" t="n">
        <v>6</v>
      </c>
      <c r="Q20" s="2" t="n">
        <v>1</v>
      </c>
      <c r="R20" s="2" t="n">
        <v>1</v>
      </c>
      <c r="S20" s="2" t="n">
        <v>1</v>
      </c>
      <c r="T20" s="2" t="n">
        <v>1</v>
      </c>
      <c r="U20" s="2">
        <f>LN(G20)</f>
        <v/>
      </c>
      <c r="V20" s="2" t="inlineStr">
        <is>
          <t>N</t>
        </is>
      </c>
      <c r="W20" s="2" t="inlineStr">
        <is>
          <t>Y</t>
        </is>
      </c>
      <c r="X20" s="2" t="inlineStr">
        <is>
          <t>Y</t>
        </is>
      </c>
      <c r="Y20" s="2" t="inlineStr">
        <is>
          <t>Normal</t>
        </is>
      </c>
      <c r="Z20" s="2" t="inlineStr">
        <is>
          <t>대구경 kV/R/F/W 교호작용 점. D26/D86과 동일 구조로 추후 추가</t>
        </is>
      </c>
      <c r="AA20" s="2" t="inlineStr">
        <is>
          <t>미래 추가 런</t>
        </is>
      </c>
      <c r="AB20" s="4" t="n"/>
      <c r="AC20" s="2">
        <f>IF(AB20="","",AB20/G20)</f>
        <v/>
      </c>
      <c r="AD20" s="2">
        <f>IF(AC20="","",LN(AC20))</f>
        <v/>
      </c>
      <c r="AE20" s="4" t="n"/>
      <c r="AF20" s="4" t="n"/>
      <c r="AG20" s="4" t="n"/>
      <c r="AH20" s="4" t="n"/>
    </row>
  </sheetData>
  <autoFilter ref="A1:AH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7"/>
  <cols>
    <col width="28" customWidth="1" min="1" max="1"/>
    <col width="20" customWidth="1" min="2" max="2"/>
    <col width="70" customWidth="1" min="3" max="3"/>
  </cols>
  <sheetData>
    <row r="1">
      <c r="A1" s="3" t="inlineStr">
        <is>
          <t>Sheet</t>
        </is>
      </c>
      <c r="B1" s="3" t="inlineStr">
        <is>
          <t>Expected_Run_Count</t>
        </is>
      </c>
      <c r="C1" s="3" t="inlineStr">
        <is>
          <t>How_to_Check</t>
        </is>
      </c>
    </row>
    <row r="2">
      <c r="A2" s="2" t="inlineStr">
        <is>
          <t>DOE_2Anchor_Now_38런</t>
        </is>
      </c>
      <c r="B2" s="2" t="n">
        <v>38</v>
      </c>
      <c r="C2" s="2" t="inlineStr">
        <is>
          <t>Run_Count 컬럼 합계 = 38</t>
        </is>
      </c>
    </row>
    <row r="3">
      <c r="A3" s="2" t="inlineStr">
        <is>
          <t>DOE_3Anchor_Full_57런</t>
        </is>
      </c>
      <c r="B3" s="2" t="n">
        <v>57</v>
      </c>
      <c r="C3" s="2" t="inlineStr">
        <is>
          <t>Run_Count 컬럼 합계 = 57</t>
        </is>
      </c>
    </row>
    <row r="4">
      <c r="A4" s="2" t="inlineStr">
        <is>
          <t>Later_Addition_Only_19런</t>
        </is>
      </c>
      <c r="B4" s="2" t="n">
        <v>19</v>
      </c>
      <c r="C4" s="2" t="inlineStr">
        <is>
          <t>Run_Count 컬럼 합계 = 19</t>
        </is>
      </c>
    </row>
    <row r="5">
      <c r="A5" s="2" t="inlineStr">
        <is>
          <t>주의</t>
        </is>
      </c>
      <c r="B5" s="2" t="inlineStr">
        <is>
          <t>-</t>
        </is>
      </c>
      <c r="C5" s="2" t="inlineStr">
        <is>
          <t>Repeat_Tag는 Rep/Single 구분용 텍스트이므로 합계 대상 아님</t>
        </is>
      </c>
    </row>
    <row r="6">
      <c r="A6" s="2" t="inlineStr">
        <is>
          <t>F 레벨 확인</t>
        </is>
      </c>
      <c r="B6" s="2" t="inlineStr">
        <is>
          <t>-</t>
        </is>
      </c>
      <c r="C6" s="2" t="inlineStr">
        <is>
          <t>모든 시트에서 F 최솟값은 32 이상이어야 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7"/>
  <cols>
    <col width="24" customWidth="1" min="1" max="1"/>
    <col width="18" customWidth="1" min="2" max="2"/>
    <col width="105" customWidth="1" min="3" max="3"/>
  </cols>
  <sheetData>
    <row r="1">
      <c r="A1" s="3" t="inlineStr">
        <is>
          <t>컬럼</t>
        </is>
      </c>
      <c r="B1" s="3" t="inlineStr">
        <is>
          <t>입력/계산</t>
        </is>
      </c>
      <c r="C1" s="3" t="inlineStr">
        <is>
          <t>설명</t>
        </is>
      </c>
    </row>
    <row r="2">
      <c r="A2" s="2" t="inlineStr">
        <is>
          <t>Run_Count</t>
        </is>
      </c>
      <c r="B2" s="2" t="inlineStr">
        <is>
          <t>자동/고정</t>
        </is>
      </c>
      <c r="C2" s="2" t="inlineStr">
        <is>
          <t>모든 실험행은 1. 총 런 수 확인 시 이 컬럼 합계를 사용</t>
        </is>
      </c>
    </row>
    <row r="3">
      <c r="A3" s="2" t="inlineStr">
        <is>
          <t>Repeat_Tag</t>
        </is>
      </c>
      <c r="B3" s="2" t="inlineStr">
        <is>
          <t>자동</t>
        </is>
      </c>
      <c r="C3" s="2" t="inlineStr">
        <is>
          <t>Center 반복은 Rep1/Rep2/Rep3, 나머지는 Single. 숫자 합산 금지</t>
        </is>
      </c>
    </row>
    <row r="4">
      <c r="A4" s="2" t="inlineStr">
        <is>
          <t>Measured_Diameter_um</t>
        </is>
      </c>
      <c r="B4" s="2" t="inlineStr">
        <is>
          <t>사용자 입력</t>
        </is>
      </c>
      <c r="C4" s="2" t="inlineStr">
        <is>
          <t>장비에서 실제 측정된 평균/대표 직경</t>
        </is>
      </c>
    </row>
    <row r="5">
      <c r="A5" s="2" t="inlineStr">
        <is>
          <t>Q_dia_formula</t>
        </is>
      </c>
      <c r="B5" s="2" t="inlineStr">
        <is>
          <t>자동계산</t>
        </is>
      </c>
      <c r="C5" s="2" t="inlineStr">
        <is>
          <t>Measured_Diameter_um / PD_Diameter_um. 목표 1.00</t>
        </is>
      </c>
    </row>
    <row r="6">
      <c r="A6" s="2" t="inlineStr">
        <is>
          <t>ln_Q_formula</t>
        </is>
      </c>
      <c r="B6" s="2" t="inlineStr">
        <is>
          <t>자동계산</t>
        </is>
      </c>
      <c r="C6" s="2" t="inlineStr">
        <is>
          <t>LN(Q_dia). 회귀모델 권장 response. 목표 0</t>
        </is>
      </c>
    </row>
    <row r="7">
      <c r="A7" s="2" t="inlineStr">
        <is>
          <t>Match_YN</t>
        </is>
      </c>
      <c r="B7" s="2" t="inlineStr">
        <is>
          <t>사용자 입력</t>
        </is>
      </c>
      <c r="C7" s="2" t="inlineStr">
        <is>
          <t>CAD matching/검사 성공 여부</t>
        </is>
      </c>
    </row>
    <row r="8">
      <c r="A8" s="2" t="inlineStr">
        <is>
          <t>FailedToMatchCAD_YN</t>
        </is>
      </c>
      <c r="B8" s="2" t="inlineStr">
        <is>
          <t>사용자 입력</t>
        </is>
      </c>
      <c r="C8" s="2" t="inlineStr">
        <is>
          <t>FailedToMatchCAD 발생 여부</t>
        </is>
      </c>
    </row>
    <row r="9">
      <c r="A9" s="2" t="inlineStr">
        <is>
          <t>Tact_sec</t>
        </is>
      </c>
      <c r="B9" s="2" t="inlineStr">
        <is>
          <t>사용자 입력</t>
        </is>
      </c>
      <c r="C9" s="2" t="inlineStr">
        <is>
          <t>해당 조건 검사 시간. 최적화 목적함수</t>
        </is>
      </c>
    </row>
    <row r="10">
      <c r="A10" s="2" t="inlineStr">
        <is>
          <t>F 제한</t>
        </is>
      </c>
      <c r="B10" s="2" t="inlineStr">
        <is>
          <t>설계 조건</t>
        </is>
      </c>
      <c r="C10" s="2" t="inlineStr">
        <is>
          <t>F 최솟값은 32. F16 조건은 사용하지 않음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7"/>
  <cols>
    <col width="24" customWidth="1" min="1" max="1"/>
    <col width="12" customWidth="1" min="2" max="2"/>
    <col width="18" customWidth="1" min="3" max="3"/>
    <col width="105" customWidth="1" min="4" max="4"/>
  </cols>
  <sheetData>
    <row r="1">
      <c r="A1" s="3" t="inlineStr">
        <is>
          <t>구분</t>
        </is>
      </c>
      <c r="B1" s="3" t="inlineStr">
        <is>
          <t>Run 수</t>
        </is>
      </c>
      <c r="C1" s="3" t="inlineStr">
        <is>
          <t>실행 시점</t>
        </is>
      </c>
      <c r="D1" s="3" t="inlineStr">
        <is>
          <t>설명</t>
        </is>
      </c>
    </row>
    <row r="2">
      <c r="A2" s="2" t="inlineStr">
        <is>
          <t>2-anchor 현재 실행</t>
        </is>
      </c>
      <c r="B2" s="2" t="n">
        <v>38</v>
      </c>
      <c r="C2" s="2" t="inlineStr">
        <is>
          <t>현재</t>
        </is>
      </c>
      <c r="D2" s="2" t="inlineStr">
        <is>
          <t>26um + 86um으로 38런 수행. 이 데이터는 3-anchor full 설계의 부분집합</t>
        </is>
      </c>
    </row>
    <row r="3">
      <c r="A3" s="2" t="inlineStr">
        <is>
          <t>대구경 추가 실행</t>
        </is>
      </c>
      <c r="B3" s="2" t="n">
        <v>19</v>
      </c>
      <c r="C3" s="2" t="inlineStr">
        <is>
          <t>추후</t>
        </is>
      </c>
      <c r="D3" s="2" t="inlineStr">
        <is>
          <t>150~180um 자재 확보 후 19런만 추가 수행</t>
        </is>
      </c>
    </row>
    <row r="4">
      <c r="A4" s="2" t="inlineStr">
        <is>
          <t>3-anchor 전체 누적</t>
        </is>
      </c>
      <c r="B4" s="2" t="n">
        <v>57</v>
      </c>
      <c r="C4" s="2" t="inlineStr">
        <is>
          <t>최종</t>
        </is>
      </c>
      <c r="D4" s="2" t="inlineStr">
        <is>
          <t>현재 38런 + 추후 19런 = 총 57런. 기존 런 재수행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MinKyu Kim</dc:creator>
  <dcterms:created xmlns:dcterms="http://purl.org/dc/terms/" xmlns:xsi="http://www.w3.org/2001/XMLSchema-instance" xsi:type="dcterms:W3CDTF">2026-07-09T08:41:18Z</dcterms:created>
  <dcterms:modified xmlns:dcterms="http://purl.org/dc/terms/" xmlns:xsi="http://www.w3.org/2001/XMLSchema-instance" xsi:type="dcterms:W3CDTF">2026-07-10T01:01:17Z</dcterms:modified>
  <cp:lastModifiedBy>MinKyu Kim</cp:lastModifiedBy>
</cp:coreProperties>
</file>