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69845\Downloads\"/>
    </mc:Choice>
  </mc:AlternateContent>
  <xr:revisionPtr revIDLastSave="0" documentId="13_ncr:1_{308547BD-3468-4709-9192-B9E5B87F023B}" xr6:coauthVersionLast="47" xr6:coauthVersionMax="47" xr10:uidLastSave="{00000000-0000-0000-0000-000000000000}"/>
  <bookViews>
    <workbookView xWindow="-19310" yWindow="-110" windowWidth="19420" windowHeight="11500" activeTab="1" xr2:uid="{00000000-000D-0000-FFFF-FFFF00000000}"/>
  </bookViews>
  <sheets>
    <sheet name="설계_설명" sheetId="1" r:id="rId1"/>
    <sheet name="1차실측" sheetId="2" r:id="rId2"/>
    <sheet name="Phase1_주효과_kV·R" sheetId="3" r:id="rId3"/>
    <sheet name="Phase2_재현성_F·W" sheetId="4" r:id="rId4"/>
    <sheet name="Phase3_교호작용" sheetId="5" r:id="rId5"/>
    <sheet name="Phase4_확인" sheetId="6" r:id="rId6"/>
    <sheet name="분석_역설계모델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6" l="1"/>
  <c r="O11" i="6"/>
  <c r="K11" i="6"/>
  <c r="F11" i="6"/>
  <c r="P10" i="6"/>
  <c r="O10" i="6"/>
  <c r="K10" i="6"/>
  <c r="F10" i="6"/>
  <c r="T9" i="6"/>
  <c r="S9" i="6"/>
  <c r="P9" i="6"/>
  <c r="O9" i="6"/>
  <c r="K9" i="6"/>
  <c r="F9" i="6"/>
  <c r="P8" i="6"/>
  <c r="O8" i="6"/>
  <c r="K8" i="6"/>
  <c r="F8" i="6"/>
  <c r="P7" i="6"/>
  <c r="O7" i="6"/>
  <c r="K7" i="6"/>
  <c r="F7" i="6"/>
  <c r="T6" i="6"/>
  <c r="S6" i="6"/>
  <c r="P6" i="6"/>
  <c r="O6" i="6"/>
  <c r="K6" i="6"/>
  <c r="F6" i="6"/>
  <c r="P20" i="5"/>
  <c r="O20" i="5"/>
  <c r="K20" i="5"/>
  <c r="F20" i="5"/>
  <c r="P19" i="5"/>
  <c r="O19" i="5"/>
  <c r="K19" i="5"/>
  <c r="F19" i="5"/>
  <c r="P18" i="5"/>
  <c r="O18" i="5"/>
  <c r="K18" i="5"/>
  <c r="F18" i="5"/>
  <c r="P17" i="5"/>
  <c r="O17" i="5"/>
  <c r="K17" i="5"/>
  <c r="F17" i="5"/>
  <c r="P16" i="5"/>
  <c r="O16" i="5"/>
  <c r="K16" i="5"/>
  <c r="F16" i="5"/>
  <c r="P15" i="5"/>
  <c r="O15" i="5"/>
  <c r="K15" i="5"/>
  <c r="F15" i="5"/>
  <c r="P14" i="5"/>
  <c r="O14" i="5"/>
  <c r="K14" i="5"/>
  <c r="F14" i="5"/>
  <c r="P13" i="5"/>
  <c r="O13" i="5"/>
  <c r="K13" i="5"/>
  <c r="F13" i="5"/>
  <c r="T12" i="5"/>
  <c r="S12" i="5"/>
  <c r="P12" i="5"/>
  <c r="O12" i="5"/>
  <c r="K12" i="5"/>
  <c r="F12" i="5"/>
  <c r="P11" i="5"/>
  <c r="O11" i="5"/>
  <c r="K11" i="5"/>
  <c r="F11" i="5"/>
  <c r="T10" i="5"/>
  <c r="S10" i="5"/>
  <c r="P10" i="5"/>
  <c r="O10" i="5"/>
  <c r="K10" i="5"/>
  <c r="F10" i="5"/>
  <c r="P9" i="5"/>
  <c r="O9" i="5"/>
  <c r="K9" i="5"/>
  <c r="F9" i="5"/>
  <c r="T8" i="5"/>
  <c r="S8" i="5"/>
  <c r="P8" i="5"/>
  <c r="O8" i="5"/>
  <c r="K8" i="5"/>
  <c r="F8" i="5"/>
  <c r="P7" i="5"/>
  <c r="O7" i="5"/>
  <c r="K7" i="5"/>
  <c r="F7" i="5"/>
  <c r="T6" i="5"/>
  <c r="S6" i="5"/>
  <c r="P6" i="5"/>
  <c r="O6" i="5"/>
  <c r="K6" i="5"/>
  <c r="F6" i="5"/>
  <c r="P17" i="4"/>
  <c r="O17" i="4"/>
  <c r="K17" i="4"/>
  <c r="F17" i="4"/>
  <c r="P16" i="4"/>
  <c r="O16" i="4"/>
  <c r="K16" i="4"/>
  <c r="F16" i="4"/>
  <c r="T15" i="4"/>
  <c r="S15" i="4"/>
  <c r="P15" i="4"/>
  <c r="O15" i="4"/>
  <c r="K15" i="4"/>
  <c r="F15" i="4"/>
  <c r="P14" i="4"/>
  <c r="O14" i="4"/>
  <c r="K14" i="4"/>
  <c r="F14" i="4"/>
  <c r="P13" i="4"/>
  <c r="O13" i="4"/>
  <c r="K13" i="4"/>
  <c r="F13" i="4"/>
  <c r="T12" i="4"/>
  <c r="S12" i="4"/>
  <c r="P12" i="4"/>
  <c r="O12" i="4"/>
  <c r="K12" i="4"/>
  <c r="F12" i="4"/>
  <c r="P11" i="4"/>
  <c r="O11" i="4"/>
  <c r="K11" i="4"/>
  <c r="F11" i="4"/>
  <c r="P10" i="4"/>
  <c r="O10" i="4"/>
  <c r="K10" i="4"/>
  <c r="F10" i="4"/>
  <c r="T9" i="4"/>
  <c r="S9" i="4"/>
  <c r="P9" i="4"/>
  <c r="O9" i="4"/>
  <c r="K9" i="4"/>
  <c r="F9" i="4"/>
  <c r="P8" i="4"/>
  <c r="O8" i="4"/>
  <c r="K8" i="4"/>
  <c r="F8" i="4"/>
  <c r="P7" i="4"/>
  <c r="O7" i="4"/>
  <c r="K7" i="4"/>
  <c r="F7" i="4"/>
  <c r="T6" i="4"/>
  <c r="S6" i="4"/>
  <c r="P6" i="4"/>
  <c r="O6" i="4"/>
  <c r="K6" i="4"/>
  <c r="F6" i="4"/>
  <c r="P15" i="3"/>
  <c r="O15" i="3"/>
  <c r="K15" i="3"/>
  <c r="F15" i="3"/>
  <c r="P14" i="3"/>
  <c r="O14" i="3"/>
  <c r="K14" i="3"/>
  <c r="F14" i="3"/>
  <c r="P13" i="3"/>
  <c r="O13" i="3"/>
  <c r="K13" i="3"/>
  <c r="F13" i="3"/>
  <c r="P12" i="3"/>
  <c r="O12" i="3"/>
  <c r="K12" i="3"/>
  <c r="F12" i="3"/>
  <c r="P11" i="3"/>
  <c r="O11" i="3"/>
  <c r="K11" i="3"/>
  <c r="F11" i="3"/>
  <c r="P10" i="3"/>
  <c r="O10" i="3"/>
  <c r="K10" i="3"/>
  <c r="F10" i="3"/>
  <c r="P9" i="3"/>
  <c r="O9" i="3"/>
  <c r="K9" i="3"/>
  <c r="F9" i="3"/>
  <c r="P8" i="3"/>
  <c r="O8" i="3"/>
  <c r="K8" i="3"/>
  <c r="F8" i="3"/>
  <c r="P7" i="3"/>
  <c r="O7" i="3"/>
  <c r="K7" i="3"/>
  <c r="F7" i="3"/>
  <c r="P6" i="3"/>
  <c r="O6" i="3"/>
  <c r="K6" i="3"/>
  <c r="F6" i="3"/>
</calcChain>
</file>

<file path=xl/sharedStrings.xml><?xml version="1.0" encoding="utf-8"?>
<sst xmlns="http://schemas.openxmlformats.org/spreadsheetml/2006/main" count="297" uniqueCount="127">
  <si>
    <t>공정 모델링 실험 런시트 — 설계 설명 [43런 핵심판] (1차 실측 반영)</t>
  </si>
  <si>
    <t>대원칙: 정확한 검사결과가 최우선. 시간단축은 정확도 지키는 범위 안에서만. 자재=26µm·86µm(158µm 미보유→86µm 사용).</t>
  </si>
  <si>
    <t>■ 1차 실측 교훈 (★설계 수정 근거 — '1차실측' 시트 참조)</t>
  </si>
  <si>
    <t>· 86µm: 양호. kV*≈60.5(Q0.999), R스윕 안정. · 26µm: 미세 R일수록 과소측정·측정실패 (R0.2→Q0.57, R0.5→Q0.82). 원인=광자부족(얇은 범프+작은 픽셀→노이즈에 묻혀 어두운 핵만 잡음). → ①측정 가능 영역에서 kV* 찾기(26µm=R0.5·F32, kV55~58) ②미세 R은 높은 F와 짝(계단식) ③측정실패 조건에 런 배치 금지.</t>
  </si>
  <si>
    <t>■ 정확도 = void 총오차 ≤ 10% = √(픽셀화² + 노이즈²)</t>
  </si>
  <si>
    <t>픽셀화(R):2/N≤7%→N≈29 / 노이즈(F,W):2σ≤7%. ★단 26µm은 미세 R이 측정을 깨서 N을 못 키움 → void 정확도가 물리적으로 ~13%(R0.5·N15) 수준에 묶일 수 있음. Phase의 R×F로 'F로 회복 가능한지' 확인.</t>
  </si>
  <si>
    <t>■ 정확도 사는 비용 순위: W(시간 공짜) &lt; F(1차) &lt; R(2차). SNR∝√(W·F·t), tact∝F/R².</t>
  </si>
  <si>
    <t>미세 R은 광자부족을 부르므로, 정확도는 R을 내리기보다 F(또는 두꺼운 범프면 W)로 사는 게 싸고 안전. 두꺼운/큰 범프: W↑(공짜)로 거친 R 허용. 26µm: R하한+측정한계라 F가 지렛대, 시간은 shot수.</t>
  </si>
  <si>
    <t>■ 교호작용(Phase3): R×F(26µm)·R×W(86µm)·W×F(86µm) + kV×F·kV×W 가드. 총오차_rel로 비교.</t>
  </si>
  <si>
    <t>■ 43런: kV 3→2점·F 2점·W 2점·교호작용 반복/셀 축소. 전 교호작용·측정가능영역 유지.</t>
  </si>
  <si>
    <t>1차 실측 데이터 (설계 수정의 근거)</t>
  </si>
  <si>
    <t>86µm는 안정(kV*≈60.5). 26µm는 미세 R서 과소측정·실패(광자부족) → 측정 가능 영역/계단식 F로 재설계.</t>
  </si>
  <si>
    <t>Run</t>
  </si>
  <si>
    <t>자재</t>
  </si>
  <si>
    <t>PD직경</t>
  </si>
  <si>
    <t>kV</t>
  </si>
  <si>
    <t>R</t>
  </si>
  <si>
    <t>F</t>
  </si>
  <si>
    <t>W</t>
  </si>
  <si>
    <t>측정직경</t>
  </si>
  <si>
    <t>Q_dia</t>
  </si>
  <si>
    <t>메모</t>
  </si>
  <si>
    <t>kV1</t>
  </si>
  <si>
    <t>26µm</t>
  </si>
  <si>
    <t>측정실패</t>
  </si>
  <si>
    <t>kV2</t>
  </si>
  <si>
    <t>과소측정(35%)</t>
  </si>
  <si>
    <t>kV3</t>
  </si>
  <si>
    <t>86µm</t>
  </si>
  <si>
    <t>kV4</t>
  </si>
  <si>
    <t>R1</t>
  </si>
  <si>
    <t>미세R 과소</t>
  </si>
  <si>
    <t>R2</t>
  </si>
  <si>
    <t>F32+미세R</t>
  </si>
  <si>
    <t>R3</t>
  </si>
  <si>
    <t>거친R가 더 정확</t>
  </si>
  <si>
    <t>R4</t>
  </si>
  <si>
    <t>kV* 근처</t>
  </si>
  <si>
    <t>R5</t>
  </si>
  <si>
    <t>R6</t>
  </si>
  <si>
    <t>void N8 과소</t>
  </si>
  <si>
    <t>Phase1_주효과_kV·R</t>
  </si>
  <si>
    <t>kV 스윕은 측정되는 (R,F)에서(26µm=R0.5·F32, 86µm=R0.5·F32). R 스윕은 미세R에 高F 짝(계단식). gold=최정밀 측정점.</t>
  </si>
  <si>
    <t>정확도=총오차≤10%. N≈29·R≥0.2·F≥32. 미세R은 高F와 짝(광자부족 회피). D=PD직경/측정직경=종속/void%=측정면적기준.</t>
  </si>
  <si>
    <t>PD직경 D(µm)</t>
  </si>
  <si>
    <t>R(µm/px)</t>
  </si>
  <si>
    <t>N(자동)</t>
  </si>
  <si>
    <t>반복#</t>
  </si>
  <si>
    <t>측정직경(µm)</t>
  </si>
  <si>
    <t>Q_dia(자동)=측정÷PD</t>
  </si>
  <si>
    <t>매칭(Y/N)</t>
  </si>
  <si>
    <t>void%(측정,장비값)</t>
  </si>
  <si>
    <t>기준gold void%</t>
  </si>
  <si>
    <t>void편차%(자동)</t>
  </si>
  <si>
    <t>판정(자동)</t>
  </si>
  <si>
    <t>tact(초)</t>
  </si>
  <si>
    <t>26µm kV* 찾기(측정영역)</t>
  </si>
  <si>
    <t>86µm kV* 찾기(측정영역)</t>
  </si>
  <si>
    <t>N≈15·F32</t>
  </si>
  <si>
    <t>N≈21·F64 (미세R=高F)</t>
  </si>
  <si>
    <t>N≈37·F128 (미세R=高F)</t>
  </si>
  <si>
    <t>N≈49·F32</t>
  </si>
  <si>
    <t>N≈30·F32</t>
  </si>
  <si>
    <t>N≈16·F32</t>
  </si>
  <si>
    <t>Phase2_재현성_F·W</t>
  </si>
  <si>
    <t>같은 범프 반복→σ·총오차. 26µm=F스윕(R0.5, F로 측정회복+σ), 86µm=W스윕(R0.8; W가 86µm서 유효한지). kV*.</t>
  </si>
  <si>
    <t>void%σ_rel(자동)</t>
  </si>
  <si>
    <t>총오차_rel(자동)≤0.10</t>
  </si>
  <si>
    <t>F32</t>
  </si>
  <si>
    <t>F=32 재현성·측정회복</t>
  </si>
  <si>
    <t>F64</t>
  </si>
  <si>
    <t>F=64 재현성·측정회복</t>
  </si>
  <si>
    <t>W4</t>
  </si>
  <si>
    <t>W=4 (86µm서 유효?)</t>
  </si>
  <si>
    <t>W6</t>
  </si>
  <si>
    <t>W=6 (86µm서 유효?)</t>
  </si>
  <si>
    <t>Phase3_교호작용</t>
  </si>
  <si>
    <t>R×F(26µm 광자부족 회복)·R×W(86µm)·W×F(86µm) + kV×F·kV×W 가드.</t>
  </si>
  <si>
    <t>RF</t>
  </si>
  <si>
    <t>R0.5×F32 [측정 기준]</t>
  </si>
  <si>
    <t>R0.2×F128 — 미세+高F로 회복?</t>
  </si>
  <si>
    <t>RW</t>
  </si>
  <si>
    <t>R0.8×W4 [기준]</t>
  </si>
  <si>
    <t>R1.5×W6 — W(공짜)로 거친R? 빠름</t>
  </si>
  <si>
    <t>WF</t>
  </si>
  <si>
    <t>W4×F64(기준)</t>
  </si>
  <si>
    <t>W6×F64(W효과)</t>
  </si>
  <si>
    <t>W6×F32(F교환)</t>
  </si>
  <si>
    <t>gKF</t>
  </si>
  <si>
    <t>kV×F가드: 가장자리kV·F32</t>
  </si>
  <si>
    <t>kV×F가드: 가장자리kV·F128</t>
  </si>
  <si>
    <t>gKW</t>
  </si>
  <si>
    <t>kV×W가드: 저kV·W4</t>
  </si>
  <si>
    <t>kV×W가드: 저kV·W6</t>
  </si>
  <si>
    <t>Phase4_확인</t>
  </si>
  <si>
    <t>모델 산출로 자재별 ×3반복. 합격: 매칭Y &amp; Q_dia97~103% &amp; 총오차_rel≤10% &amp; tact 최소.</t>
  </si>
  <si>
    <t>C-26</t>
  </si>
  <si>
    <t>(모델kV*≈56)</t>
  </si>
  <si>
    <t>(모델R,F짝)</t>
  </si>
  <si>
    <t>(모델F)</t>
  </si>
  <si>
    <t>4</t>
  </si>
  <si>
    <t>26µm 정확도 한계 확인(R×F 결과 반영)</t>
  </si>
  <si>
    <t>C-86</t>
  </si>
  <si>
    <t>(모델kV*≈60.5)</t>
  </si>
  <si>
    <t>(모델R)</t>
  </si>
  <si>
    <t>(모델W)</t>
  </si>
  <si>
    <t>정확도 확인 (W로 R 거칠게 최적)</t>
  </si>
  <si>
    <t>역설계 모델 — 측정 가능+정확도(총오차≤10%) 만족 설정 중 최소 tact</t>
  </si>
  <si>
    <t>■ 실측 반영 요점</t>
  </si>
  <si>
    <t>26µm kV*</t>
  </si>
  <si>
    <t>≈56 (R0.5·F32서 스윕). 미세R서는 측정 자체가 깨져 kV* 못찾음</t>
  </si>
  <si>
    <t>86µm kV*</t>
  </si>
  <si>
    <t>≈60.5 (Q0.999). 안정</t>
  </si>
  <si>
    <t>미세R 규칙</t>
  </si>
  <si>
    <t>미세 R엔 高F 필수(광자부족→과소측정·실패). R×F로 회복폭 확정</t>
  </si>
  <si>
    <t>26µm 한계</t>
  </si>
  <si>
    <t>미세R 회복 안되면 R0.5(N15)·void정확도~13%가 물리 한계 — 수용 여부 결정 필요</t>
  </si>
  <si>
    <t>■ 역설계 규칙</t>
  </si>
  <si>
    <t>1) kV</t>
  </si>
  <si>
    <t>측정되는 (R,F)에서 kV*(D) 트림→측정직경=PD(100%)</t>
  </si>
  <si>
    <t>2) 정확도 순서</t>
  </si>
  <si>
    <t>경계 흐리면: 86µm=W↑(공짜)→F↑ / 26µm=F↑ (R하한·측정한계)</t>
  </si>
  <si>
    <t>3) R</t>
  </si>
  <si>
    <t>정확도 남으면 R↑(2차, 비쌈)로 shot↓. 미세R 필요시 高F 동반</t>
  </si>
  <si>
    <t>4) 검증</t>
  </si>
  <si>
    <t>측정성공 &amp; 총오차≤10% &amp; 매칭 &amp; Q_dia 후 tact</t>
  </si>
  <si>
    <t>※ 확정 계수는 레시피모델·계산기에 반영. 26µm 정확도 한계는 데이터로 확정 후 tolerance 재검토.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</si>
</sst>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0" fillId="3" borderId="0" xfId="0" applyFill="1"/>
    <xf numFmtId="0" fontId="1" fillId="4" borderId="0" xfId="0" applyFont="1" applyFill="1" applyAlignment="1">
      <alignment horizontal="center"/>
    </xf>
    <xf numFmtId="0" fontId="1" fillId="3" borderId="0" xfId="0" applyFont="1" applyFill="1"/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/>
    <xf numFmtId="0" fontId="1" fillId="4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/>
  </sheetViews>
  <sheetFormatPr defaultRowHeight="16.5" x14ac:dyDescent="0.3"/>
  <cols>
    <col min="1" max="1" width="16" customWidth="1"/>
    <col min="2" max="2" width="22" customWidth="1"/>
    <col min="3" max="8" width="9" customWidth="1"/>
  </cols>
  <sheetData>
    <row r="1" spans="1:8" x14ac:dyDescent="0.3">
      <c r="A1" s="1" t="s">
        <v>0</v>
      </c>
    </row>
    <row r="2" spans="1:8" x14ac:dyDescent="0.3">
      <c r="A2" s="9" t="s">
        <v>1</v>
      </c>
      <c r="B2" s="7"/>
      <c r="C2" s="7"/>
      <c r="D2" s="7"/>
      <c r="E2" s="7"/>
      <c r="F2" s="7"/>
      <c r="G2" s="7"/>
      <c r="H2" s="7"/>
    </row>
    <row r="4" spans="1:8" x14ac:dyDescent="0.3">
      <c r="A4" s="6" t="s">
        <v>2</v>
      </c>
      <c r="B4" s="7"/>
      <c r="C4" s="7"/>
      <c r="D4" s="7"/>
      <c r="E4" s="7"/>
      <c r="F4" s="7"/>
      <c r="G4" s="7"/>
      <c r="H4" s="7"/>
    </row>
    <row r="5" spans="1:8" x14ac:dyDescent="0.3">
      <c r="A5" s="8" t="s">
        <v>3</v>
      </c>
      <c r="B5" s="7"/>
      <c r="C5" s="7"/>
      <c r="D5" s="7"/>
      <c r="E5" s="7"/>
      <c r="F5" s="7"/>
      <c r="G5" s="7"/>
      <c r="H5" s="7"/>
    </row>
    <row r="6" spans="1:8" x14ac:dyDescent="0.3">
      <c r="A6" s="7"/>
      <c r="B6" s="7"/>
      <c r="C6" s="7"/>
      <c r="D6" s="7"/>
      <c r="E6" s="7"/>
      <c r="F6" s="7"/>
      <c r="G6" s="7"/>
      <c r="H6" s="7"/>
    </row>
    <row r="7" spans="1:8" x14ac:dyDescent="0.3">
      <c r="A7" s="7"/>
      <c r="B7" s="7"/>
      <c r="C7" s="7"/>
      <c r="D7" s="7"/>
      <c r="E7" s="7"/>
      <c r="F7" s="7"/>
      <c r="G7" s="7"/>
      <c r="H7" s="7"/>
    </row>
    <row r="8" spans="1:8" x14ac:dyDescent="0.3">
      <c r="A8" s="7"/>
      <c r="B8" s="7"/>
      <c r="C8" s="7"/>
      <c r="D8" s="7"/>
      <c r="E8" s="7"/>
      <c r="F8" s="7"/>
      <c r="G8" s="7"/>
      <c r="H8" s="7"/>
    </row>
    <row r="10" spans="1:8" x14ac:dyDescent="0.3">
      <c r="A10" s="10" t="s">
        <v>4</v>
      </c>
      <c r="B10" s="7"/>
      <c r="C10" s="7"/>
      <c r="D10" s="7"/>
      <c r="E10" s="7"/>
      <c r="F10" s="7"/>
      <c r="G10" s="7"/>
      <c r="H10" s="7"/>
    </row>
    <row r="11" spans="1:8" x14ac:dyDescent="0.3">
      <c r="A11" s="8" t="s">
        <v>5</v>
      </c>
      <c r="B11" s="7"/>
      <c r="C11" s="7"/>
      <c r="D11" s="7"/>
      <c r="E11" s="7"/>
      <c r="F11" s="7"/>
      <c r="G11" s="7"/>
      <c r="H11" s="7"/>
    </row>
    <row r="12" spans="1:8" x14ac:dyDescent="0.3">
      <c r="A12" s="7"/>
      <c r="B12" s="7"/>
      <c r="C12" s="7"/>
      <c r="D12" s="7"/>
      <c r="E12" s="7"/>
      <c r="F12" s="7"/>
      <c r="G12" s="7"/>
      <c r="H12" s="7"/>
    </row>
    <row r="13" spans="1:8" x14ac:dyDescent="0.3">
      <c r="A13" s="7"/>
      <c r="B13" s="7"/>
      <c r="C13" s="7"/>
      <c r="D13" s="7"/>
      <c r="E13" s="7"/>
      <c r="F13" s="7"/>
      <c r="G13" s="7"/>
      <c r="H13" s="7"/>
    </row>
    <row r="15" spans="1:8" x14ac:dyDescent="0.3">
      <c r="A15" s="9" t="s">
        <v>6</v>
      </c>
      <c r="B15" s="7"/>
      <c r="C15" s="7"/>
      <c r="D15" s="7"/>
      <c r="E15" s="7"/>
      <c r="F15" s="7"/>
      <c r="G15" s="7"/>
      <c r="H15" s="7"/>
    </row>
    <row r="16" spans="1:8" x14ac:dyDescent="0.3">
      <c r="A16" s="7"/>
      <c r="B16" s="7"/>
      <c r="C16" s="7"/>
      <c r="D16" s="7"/>
      <c r="E16" s="7"/>
      <c r="F16" s="7"/>
      <c r="G16" s="7"/>
      <c r="H16" s="7"/>
    </row>
    <row r="17" spans="1:8" x14ac:dyDescent="0.3">
      <c r="A17" s="8" t="s">
        <v>7</v>
      </c>
      <c r="B17" s="7"/>
      <c r="C17" s="7"/>
      <c r="D17" s="7"/>
      <c r="E17" s="7"/>
      <c r="F17" s="7"/>
      <c r="G17" s="7"/>
      <c r="H17" s="7"/>
    </row>
    <row r="18" spans="1:8" x14ac:dyDescent="0.3">
      <c r="A18" s="7"/>
      <c r="B18" s="7"/>
      <c r="C18" s="7"/>
      <c r="D18" s="7"/>
      <c r="E18" s="7"/>
      <c r="F18" s="7"/>
      <c r="G18" s="7"/>
      <c r="H18" s="7"/>
    </row>
    <row r="19" spans="1:8" x14ac:dyDescent="0.3">
      <c r="A19" s="7"/>
      <c r="B19" s="7"/>
      <c r="C19" s="7"/>
      <c r="D19" s="7"/>
      <c r="E19" s="7"/>
      <c r="F19" s="7"/>
      <c r="G19" s="7"/>
      <c r="H19" s="7"/>
    </row>
    <row r="21" spans="1:8" x14ac:dyDescent="0.3">
      <c r="A21" s="11" t="s">
        <v>8</v>
      </c>
      <c r="B21" s="7"/>
      <c r="C21" s="7"/>
      <c r="D21" s="7"/>
      <c r="E21" s="7"/>
      <c r="F21" s="7"/>
      <c r="G21" s="7"/>
      <c r="H21" s="7"/>
    </row>
    <row r="22" spans="1:8" x14ac:dyDescent="0.3">
      <c r="A22" s="7"/>
      <c r="B22" s="7"/>
      <c r="C22" s="7"/>
      <c r="D22" s="7"/>
      <c r="E22" s="7"/>
      <c r="F22" s="7"/>
      <c r="G22" s="7"/>
      <c r="H22" s="7"/>
    </row>
    <row r="24" spans="1:8" x14ac:dyDescent="0.3">
      <c r="A24" s="12" t="s">
        <v>9</v>
      </c>
      <c r="B24" s="7"/>
      <c r="C24" s="7"/>
      <c r="D24" s="7"/>
      <c r="E24" s="7"/>
      <c r="F24" s="7"/>
      <c r="G24" s="7"/>
      <c r="H24" s="7"/>
    </row>
    <row r="25" spans="1:8" x14ac:dyDescent="0.3">
      <c r="A25" s="7"/>
      <c r="B25" s="7"/>
      <c r="C25" s="7"/>
      <c r="D25" s="7"/>
      <c r="E25" s="7"/>
      <c r="F25" s="7"/>
      <c r="G25" s="7"/>
      <c r="H25" s="7"/>
    </row>
  </sheetData>
  <mergeCells count="9">
    <mergeCell ref="A21:H22"/>
    <mergeCell ref="A24:H25"/>
    <mergeCell ref="A4:H4"/>
    <mergeCell ref="A17:H19"/>
    <mergeCell ref="A15:H16"/>
    <mergeCell ref="A11:H13"/>
    <mergeCell ref="A2:H2"/>
    <mergeCell ref="A10:H10"/>
    <mergeCell ref="A5:H8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tabSelected="1" workbookViewId="0">
      <selection activeCell="M10" sqref="M10"/>
    </sheetView>
  </sheetViews>
  <sheetFormatPr defaultRowHeight="16.5" x14ac:dyDescent="0.3"/>
  <cols>
    <col min="1" max="2" width="7" customWidth="1"/>
    <col min="3" max="3" width="8" customWidth="1"/>
    <col min="4" max="5" width="7" customWidth="1"/>
    <col min="6" max="7" width="6" customWidth="1"/>
    <col min="8" max="9" width="10" customWidth="1"/>
    <col min="10" max="10" width="22" customWidth="1"/>
  </cols>
  <sheetData>
    <row r="1" spans="1:10" x14ac:dyDescent="0.3">
      <c r="A1" s="1" t="s">
        <v>10</v>
      </c>
    </row>
    <row r="2" spans="1:10" x14ac:dyDescent="0.3">
      <c r="A2" s="13" t="s">
        <v>11</v>
      </c>
      <c r="B2" s="7"/>
      <c r="C2" s="7"/>
      <c r="D2" s="7"/>
      <c r="E2" s="7"/>
      <c r="F2" s="7"/>
      <c r="G2" s="7"/>
      <c r="H2" s="7"/>
      <c r="I2" s="7"/>
      <c r="J2" s="7"/>
    </row>
    <row r="4" spans="1:10" x14ac:dyDescent="0.3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spans="1:10" x14ac:dyDescent="0.3">
      <c r="A5" s="4" t="s">
        <v>22</v>
      </c>
      <c r="B5" s="4" t="s">
        <v>23</v>
      </c>
      <c r="C5" s="4">
        <v>26</v>
      </c>
      <c r="D5" s="4">
        <v>55.5</v>
      </c>
      <c r="E5" s="4">
        <v>0.2</v>
      </c>
      <c r="F5" s="4">
        <v>32</v>
      </c>
      <c r="G5" s="4">
        <v>4</v>
      </c>
      <c r="H5" s="4" t="s">
        <v>24</v>
      </c>
      <c r="I5" s="4"/>
      <c r="J5" s="4"/>
    </row>
    <row r="6" spans="1:10" x14ac:dyDescent="0.3">
      <c r="A6" t="s">
        <v>25</v>
      </c>
      <c r="B6" t="s">
        <v>23</v>
      </c>
      <c r="C6">
        <v>26</v>
      </c>
      <c r="D6">
        <v>59.5</v>
      </c>
      <c r="E6">
        <v>0.2</v>
      </c>
      <c r="F6">
        <v>32</v>
      </c>
      <c r="G6">
        <v>4</v>
      </c>
      <c r="H6">
        <v>9.0500000000000007</v>
      </c>
      <c r="I6">
        <v>0.34799999999999998</v>
      </c>
      <c r="J6" t="s">
        <v>26</v>
      </c>
    </row>
    <row r="7" spans="1:10" x14ac:dyDescent="0.3">
      <c r="A7" t="s">
        <v>27</v>
      </c>
      <c r="B7" t="s">
        <v>28</v>
      </c>
      <c r="C7">
        <v>86</v>
      </c>
      <c r="D7">
        <v>58.5</v>
      </c>
      <c r="E7">
        <v>0.77</v>
      </c>
      <c r="F7">
        <v>32</v>
      </c>
      <c r="G7">
        <v>4</v>
      </c>
      <c r="H7">
        <v>83.1</v>
      </c>
      <c r="I7">
        <v>0.96599999999999997</v>
      </c>
    </row>
    <row r="8" spans="1:10" x14ac:dyDescent="0.3">
      <c r="A8" t="s">
        <v>29</v>
      </c>
      <c r="B8" t="s">
        <v>28</v>
      </c>
      <c r="C8">
        <v>86</v>
      </c>
      <c r="D8">
        <v>62.5</v>
      </c>
      <c r="E8">
        <v>0.77</v>
      </c>
      <c r="F8">
        <v>32</v>
      </c>
      <c r="G8">
        <v>4</v>
      </c>
      <c r="H8">
        <v>77.8</v>
      </c>
      <c r="I8">
        <v>0.90500000000000003</v>
      </c>
    </row>
    <row r="9" spans="1:10" x14ac:dyDescent="0.3">
      <c r="A9" t="s">
        <v>30</v>
      </c>
      <c r="B9" t="s">
        <v>23</v>
      </c>
      <c r="C9">
        <v>26</v>
      </c>
      <c r="D9">
        <v>57.5</v>
      </c>
      <c r="E9">
        <v>0.2</v>
      </c>
      <c r="F9">
        <v>32</v>
      </c>
      <c r="G9">
        <v>4</v>
      </c>
      <c r="H9">
        <v>14.87</v>
      </c>
      <c r="I9">
        <v>0.57199999999999995</v>
      </c>
      <c r="J9" t="s">
        <v>31</v>
      </c>
    </row>
    <row r="10" spans="1:10" x14ac:dyDescent="0.3">
      <c r="A10" s="4" t="s">
        <v>32</v>
      </c>
      <c r="B10" s="4" t="s">
        <v>23</v>
      </c>
      <c r="C10" s="4">
        <v>26</v>
      </c>
      <c r="D10" s="4">
        <v>57.5</v>
      </c>
      <c r="E10" s="4">
        <v>0.25</v>
      </c>
      <c r="F10" s="4">
        <v>32</v>
      </c>
      <c r="G10" s="4">
        <v>4</v>
      </c>
      <c r="H10" s="4" t="s">
        <v>24</v>
      </c>
      <c r="I10" s="4"/>
      <c r="J10" s="4" t="s">
        <v>33</v>
      </c>
    </row>
    <row r="11" spans="1:10" x14ac:dyDescent="0.3">
      <c r="A11" t="s">
        <v>34</v>
      </c>
      <c r="B11" t="s">
        <v>23</v>
      </c>
      <c r="C11">
        <v>26</v>
      </c>
      <c r="D11">
        <v>57.5</v>
      </c>
      <c r="E11">
        <v>0.5</v>
      </c>
      <c r="F11">
        <v>32</v>
      </c>
      <c r="G11">
        <v>4</v>
      </c>
      <c r="H11">
        <v>21.35</v>
      </c>
      <c r="I11">
        <v>0.82099999999999995</v>
      </c>
      <c r="J11" t="s">
        <v>35</v>
      </c>
    </row>
    <row r="12" spans="1:10" x14ac:dyDescent="0.3">
      <c r="A12" t="s">
        <v>36</v>
      </c>
      <c r="B12" t="s">
        <v>28</v>
      </c>
      <c r="C12">
        <v>86</v>
      </c>
      <c r="D12">
        <v>60.5</v>
      </c>
      <c r="E12">
        <v>0.77</v>
      </c>
      <c r="F12">
        <v>32</v>
      </c>
      <c r="G12">
        <v>4</v>
      </c>
      <c r="H12">
        <v>85.9</v>
      </c>
      <c r="I12">
        <v>0.999</v>
      </c>
      <c r="J12" t="s">
        <v>37</v>
      </c>
    </row>
    <row r="13" spans="1:10" x14ac:dyDescent="0.3">
      <c r="A13" t="s">
        <v>38</v>
      </c>
      <c r="B13" t="s">
        <v>28</v>
      </c>
      <c r="C13">
        <v>86</v>
      </c>
      <c r="D13">
        <v>60.5</v>
      </c>
      <c r="E13">
        <v>1.5</v>
      </c>
      <c r="F13">
        <v>32</v>
      </c>
      <c r="G13">
        <v>4</v>
      </c>
      <c r="H13">
        <v>84.8</v>
      </c>
      <c r="I13">
        <v>0.98599999999999999</v>
      </c>
    </row>
    <row r="14" spans="1:10" x14ac:dyDescent="0.3">
      <c r="A14" t="s">
        <v>39</v>
      </c>
      <c r="B14" t="s">
        <v>28</v>
      </c>
      <c r="C14">
        <v>86</v>
      </c>
      <c r="D14">
        <v>60.5</v>
      </c>
      <c r="E14">
        <v>3</v>
      </c>
      <c r="F14">
        <v>32</v>
      </c>
      <c r="G14">
        <v>4</v>
      </c>
      <c r="H14">
        <v>81.599999999999994</v>
      </c>
      <c r="I14">
        <v>0.94899999999999995</v>
      </c>
      <c r="J14" t="s">
        <v>40</v>
      </c>
    </row>
  </sheetData>
  <mergeCells count="1">
    <mergeCell ref="A2:J2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"/>
  <sheetViews>
    <sheetView workbookViewId="0">
      <selection activeCell="B8" sqref="B8"/>
    </sheetView>
  </sheetViews>
  <sheetFormatPr defaultRowHeight="16.5" x14ac:dyDescent="0.3"/>
  <cols>
    <col min="1" max="2" width="8" customWidth="1"/>
    <col min="3" max="3" width="14.5" customWidth="1"/>
    <col min="4" max="4" width="7" customWidth="1"/>
    <col min="5" max="5" width="9" customWidth="1"/>
    <col min="6" max="6" width="8" customWidth="1"/>
    <col min="7" max="9" width="6" customWidth="1"/>
    <col min="10" max="10" width="11" customWidth="1"/>
    <col min="11" max="11" width="16" customWidth="1"/>
    <col min="12" max="12" width="9" customWidth="1"/>
    <col min="13" max="13" width="16" customWidth="1"/>
    <col min="14" max="14" width="15" customWidth="1"/>
    <col min="15" max="15" width="13" customWidth="1"/>
    <col min="16" max="16" width="10" customWidth="1"/>
    <col min="17" max="17" width="8" customWidth="1"/>
    <col min="18" max="18" width="28" customWidth="1"/>
  </cols>
  <sheetData>
    <row r="1" spans="1:18" x14ac:dyDescent="0.3">
      <c r="A1" s="1" t="s">
        <v>41</v>
      </c>
    </row>
    <row r="2" spans="1:18" x14ac:dyDescent="0.3">
      <c r="A2" s="12" t="s">
        <v>42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x14ac:dyDescent="0.3">
      <c r="A3" s="8" t="s">
        <v>43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5" spans="1:18" x14ac:dyDescent="0.3">
      <c r="A5" s="5" t="s">
        <v>12</v>
      </c>
      <c r="B5" s="5" t="s">
        <v>13</v>
      </c>
      <c r="C5" s="5" t="s">
        <v>44</v>
      </c>
      <c r="D5" s="5" t="s">
        <v>15</v>
      </c>
      <c r="E5" s="5" t="s">
        <v>45</v>
      </c>
      <c r="F5" s="5" t="s">
        <v>46</v>
      </c>
      <c r="G5" s="5" t="s">
        <v>17</v>
      </c>
      <c r="H5" s="5" t="s">
        <v>18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55</v>
      </c>
      <c r="R5" s="5" t="s">
        <v>21</v>
      </c>
    </row>
    <row r="6" spans="1:18" x14ac:dyDescent="0.3">
      <c r="A6" t="s">
        <v>22</v>
      </c>
      <c r="B6" t="s">
        <v>23</v>
      </c>
      <c r="C6">
        <v>26</v>
      </c>
      <c r="D6">
        <v>55</v>
      </c>
      <c r="E6">
        <v>0.5</v>
      </c>
      <c r="F6">
        <f t="shared" ref="F6:F15" si="0">IFERROR(ROUND(C6*0.2828/E6,0),"")</f>
        <v>15</v>
      </c>
      <c r="G6">
        <v>32</v>
      </c>
      <c r="H6">
        <v>4</v>
      </c>
      <c r="I6">
        <v>1</v>
      </c>
      <c r="K6">
        <f t="shared" ref="K6:K15" si="1">IFERROR(J6/C6,"")</f>
        <v>0</v>
      </c>
      <c r="O6" t="str">
        <f t="shared" ref="O6:O15" si="2">IFERROR((M6-N6)/N6,"")</f>
        <v/>
      </c>
      <c r="P6" t="str">
        <f t="shared" ref="P6:P15" si="3">IF(J6="","",IF(AND(L6="Y",K6&gt;=0.97,K6&lt;=1.03,IFERROR(ABS(O6)&lt;=0.1,FALSE)),"PASS","FAIL"))</f>
        <v/>
      </c>
      <c r="R6" t="s">
        <v>56</v>
      </c>
    </row>
    <row r="7" spans="1:18" x14ac:dyDescent="0.3">
      <c r="A7" t="s">
        <v>25</v>
      </c>
      <c r="B7" t="s">
        <v>23</v>
      </c>
      <c r="C7">
        <v>26</v>
      </c>
      <c r="D7">
        <v>58</v>
      </c>
      <c r="E7">
        <v>0.5</v>
      </c>
      <c r="F7">
        <f t="shared" si="0"/>
        <v>15</v>
      </c>
      <c r="G7">
        <v>32</v>
      </c>
      <c r="H7">
        <v>4</v>
      </c>
      <c r="I7">
        <v>1</v>
      </c>
      <c r="K7">
        <f t="shared" si="1"/>
        <v>0</v>
      </c>
      <c r="O7" t="str">
        <f t="shared" si="2"/>
        <v/>
      </c>
      <c r="P7" t="str">
        <f t="shared" si="3"/>
        <v/>
      </c>
      <c r="R7" t="s">
        <v>56</v>
      </c>
    </row>
    <row r="8" spans="1:18" x14ac:dyDescent="0.3">
      <c r="A8" t="s">
        <v>27</v>
      </c>
      <c r="B8" t="s">
        <v>28</v>
      </c>
      <c r="C8">
        <v>86</v>
      </c>
      <c r="D8">
        <v>58.5</v>
      </c>
      <c r="E8">
        <v>0.5</v>
      </c>
      <c r="F8">
        <f t="shared" si="0"/>
        <v>49</v>
      </c>
      <c r="G8">
        <v>32</v>
      </c>
      <c r="H8">
        <v>4</v>
      </c>
      <c r="I8">
        <v>1</v>
      </c>
      <c r="K8">
        <f t="shared" si="1"/>
        <v>0</v>
      </c>
      <c r="O8" t="str">
        <f t="shared" si="2"/>
        <v/>
      </c>
      <c r="P8" t="str">
        <f t="shared" si="3"/>
        <v/>
      </c>
      <c r="R8" t="s">
        <v>57</v>
      </c>
    </row>
    <row r="9" spans="1:18" x14ac:dyDescent="0.3">
      <c r="A9" t="s">
        <v>29</v>
      </c>
      <c r="B9" t="s">
        <v>28</v>
      </c>
      <c r="C9">
        <v>86</v>
      </c>
      <c r="D9">
        <v>62.5</v>
      </c>
      <c r="E9">
        <v>0.5</v>
      </c>
      <c r="F9">
        <f t="shared" si="0"/>
        <v>49</v>
      </c>
      <c r="G9">
        <v>32</v>
      </c>
      <c r="H9">
        <v>4</v>
      </c>
      <c r="I9">
        <v>1</v>
      </c>
      <c r="K9">
        <f t="shared" si="1"/>
        <v>0</v>
      </c>
      <c r="O9" t="str">
        <f t="shared" si="2"/>
        <v/>
      </c>
      <c r="P9" t="str">
        <f t="shared" si="3"/>
        <v/>
      </c>
      <c r="R9" t="s">
        <v>57</v>
      </c>
    </row>
    <row r="10" spans="1:18" x14ac:dyDescent="0.3">
      <c r="A10" t="s">
        <v>30</v>
      </c>
      <c r="B10" t="s">
        <v>23</v>
      </c>
      <c r="C10">
        <v>26</v>
      </c>
      <c r="D10">
        <v>56</v>
      </c>
      <c r="E10">
        <v>0.5</v>
      </c>
      <c r="F10">
        <f t="shared" si="0"/>
        <v>15</v>
      </c>
      <c r="G10">
        <v>32</v>
      </c>
      <c r="H10">
        <v>4</v>
      </c>
      <c r="I10">
        <v>1</v>
      </c>
      <c r="K10">
        <f t="shared" si="1"/>
        <v>0</v>
      </c>
      <c r="O10" t="str">
        <f t="shared" si="2"/>
        <v/>
      </c>
      <c r="P10" t="str">
        <f t="shared" si="3"/>
        <v/>
      </c>
      <c r="R10" t="s">
        <v>58</v>
      </c>
    </row>
    <row r="11" spans="1:18" x14ac:dyDescent="0.3">
      <c r="A11" t="s">
        <v>32</v>
      </c>
      <c r="B11" t="s">
        <v>23</v>
      </c>
      <c r="C11">
        <v>26</v>
      </c>
      <c r="D11">
        <v>56</v>
      </c>
      <c r="E11">
        <v>0.35</v>
      </c>
      <c r="F11">
        <f t="shared" si="0"/>
        <v>21</v>
      </c>
      <c r="G11">
        <v>64</v>
      </c>
      <c r="H11">
        <v>4</v>
      </c>
      <c r="I11">
        <v>1</v>
      </c>
      <c r="K11">
        <f t="shared" si="1"/>
        <v>0</v>
      </c>
      <c r="O11" t="str">
        <f t="shared" si="2"/>
        <v/>
      </c>
      <c r="P11" t="str">
        <f t="shared" si="3"/>
        <v/>
      </c>
      <c r="R11" t="s">
        <v>59</v>
      </c>
    </row>
    <row r="12" spans="1:18" x14ac:dyDescent="0.3">
      <c r="A12" t="s">
        <v>34</v>
      </c>
      <c r="B12" t="s">
        <v>23</v>
      </c>
      <c r="C12">
        <v>26</v>
      </c>
      <c r="D12">
        <v>56</v>
      </c>
      <c r="E12">
        <v>0.2</v>
      </c>
      <c r="F12">
        <f t="shared" si="0"/>
        <v>37</v>
      </c>
      <c r="G12">
        <v>128</v>
      </c>
      <c r="H12">
        <v>4</v>
      </c>
      <c r="I12">
        <v>1</v>
      </c>
      <c r="K12">
        <f t="shared" si="1"/>
        <v>0</v>
      </c>
      <c r="O12" t="str">
        <f t="shared" si="2"/>
        <v/>
      </c>
      <c r="P12" t="str">
        <f t="shared" si="3"/>
        <v/>
      </c>
      <c r="R12" t="s">
        <v>60</v>
      </c>
    </row>
    <row r="13" spans="1:18" x14ac:dyDescent="0.3">
      <c r="A13" t="s">
        <v>36</v>
      </c>
      <c r="B13" t="s">
        <v>28</v>
      </c>
      <c r="C13">
        <v>86</v>
      </c>
      <c r="D13">
        <v>60.5</v>
      </c>
      <c r="E13">
        <v>0.5</v>
      </c>
      <c r="F13">
        <f t="shared" si="0"/>
        <v>49</v>
      </c>
      <c r="G13">
        <v>32</v>
      </c>
      <c r="H13">
        <v>4</v>
      </c>
      <c r="I13">
        <v>1</v>
      </c>
      <c r="K13">
        <f t="shared" si="1"/>
        <v>0</v>
      </c>
      <c r="O13" t="str">
        <f t="shared" si="2"/>
        <v/>
      </c>
      <c r="P13" t="str">
        <f t="shared" si="3"/>
        <v/>
      </c>
      <c r="R13" t="s">
        <v>61</v>
      </c>
    </row>
    <row r="14" spans="1:18" x14ac:dyDescent="0.3">
      <c r="A14" t="s">
        <v>38</v>
      </c>
      <c r="B14" t="s">
        <v>28</v>
      </c>
      <c r="C14">
        <v>86</v>
      </c>
      <c r="D14">
        <v>60.5</v>
      </c>
      <c r="E14">
        <v>0.8</v>
      </c>
      <c r="F14">
        <f t="shared" si="0"/>
        <v>30</v>
      </c>
      <c r="G14">
        <v>32</v>
      </c>
      <c r="H14">
        <v>4</v>
      </c>
      <c r="I14">
        <v>1</v>
      </c>
      <c r="K14">
        <f t="shared" si="1"/>
        <v>0</v>
      </c>
      <c r="O14" t="str">
        <f t="shared" si="2"/>
        <v/>
      </c>
      <c r="P14" t="str">
        <f t="shared" si="3"/>
        <v/>
      </c>
      <c r="R14" t="s">
        <v>62</v>
      </c>
    </row>
    <row r="15" spans="1:18" x14ac:dyDescent="0.3">
      <c r="A15" t="s">
        <v>39</v>
      </c>
      <c r="B15" t="s">
        <v>28</v>
      </c>
      <c r="C15">
        <v>86</v>
      </c>
      <c r="D15">
        <v>60.5</v>
      </c>
      <c r="E15">
        <v>1.5</v>
      </c>
      <c r="F15">
        <f t="shared" si="0"/>
        <v>16</v>
      </c>
      <c r="G15">
        <v>32</v>
      </c>
      <c r="H15">
        <v>4</v>
      </c>
      <c r="I15">
        <v>1</v>
      </c>
      <c r="K15">
        <f t="shared" si="1"/>
        <v>0</v>
      </c>
      <c r="O15" t="str">
        <f t="shared" si="2"/>
        <v/>
      </c>
      <c r="P15" t="str">
        <f t="shared" si="3"/>
        <v/>
      </c>
      <c r="R15" t="s">
        <v>63</v>
      </c>
    </row>
  </sheetData>
  <mergeCells count="2">
    <mergeCell ref="A3:R3"/>
    <mergeCell ref="A2:R2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7"/>
  <sheetViews>
    <sheetView workbookViewId="0"/>
  </sheetViews>
  <sheetFormatPr defaultRowHeight="16.5" x14ac:dyDescent="0.3"/>
  <cols>
    <col min="1" max="2" width="8" customWidth="1"/>
    <col min="3" max="3" width="11" customWidth="1"/>
    <col min="4" max="4" width="7" customWidth="1"/>
    <col min="5" max="5" width="9" customWidth="1"/>
    <col min="6" max="6" width="8" customWidth="1"/>
    <col min="7" max="9" width="6" customWidth="1"/>
    <col min="10" max="10" width="11" customWidth="1"/>
    <col min="11" max="11" width="16" customWidth="1"/>
    <col min="12" max="12" width="9" customWidth="1"/>
    <col min="13" max="13" width="16" customWidth="1"/>
    <col min="14" max="14" width="15" customWidth="1"/>
    <col min="15" max="15" width="13" customWidth="1"/>
    <col min="16" max="16" width="10" customWidth="1"/>
    <col min="17" max="17" width="8" customWidth="1"/>
    <col min="18" max="18" width="28" customWidth="1"/>
    <col min="19" max="19" width="14" customWidth="1"/>
    <col min="20" max="20" width="17" customWidth="1"/>
  </cols>
  <sheetData>
    <row r="1" spans="1:20" x14ac:dyDescent="0.3">
      <c r="A1" s="1" t="s">
        <v>64</v>
      </c>
    </row>
    <row r="2" spans="1:20" x14ac:dyDescent="0.3">
      <c r="A2" s="12" t="s">
        <v>65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20" x14ac:dyDescent="0.3">
      <c r="A3" s="8" t="s">
        <v>43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5" spans="1:20" x14ac:dyDescent="0.3">
      <c r="A5" s="5" t="s">
        <v>12</v>
      </c>
      <c r="B5" s="5" t="s">
        <v>13</v>
      </c>
      <c r="C5" s="5" t="s">
        <v>44</v>
      </c>
      <c r="D5" s="5" t="s">
        <v>15</v>
      </c>
      <c r="E5" s="5" t="s">
        <v>45</v>
      </c>
      <c r="F5" s="5" t="s">
        <v>46</v>
      </c>
      <c r="G5" s="5" t="s">
        <v>17</v>
      </c>
      <c r="H5" s="5" t="s">
        <v>18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55</v>
      </c>
      <c r="R5" s="5" t="s">
        <v>21</v>
      </c>
      <c r="S5" s="5" t="s">
        <v>66</v>
      </c>
      <c r="T5" s="5" t="s">
        <v>67</v>
      </c>
    </row>
    <row r="6" spans="1:20" x14ac:dyDescent="0.3">
      <c r="A6" t="s">
        <v>68</v>
      </c>
      <c r="B6" t="s">
        <v>23</v>
      </c>
      <c r="C6">
        <v>26</v>
      </c>
      <c r="D6">
        <v>56</v>
      </c>
      <c r="E6">
        <v>0.5</v>
      </c>
      <c r="F6">
        <f t="shared" ref="F6:F17" si="0">IFERROR(ROUND(C6*0.2828/E6,0),"")</f>
        <v>15</v>
      </c>
      <c r="G6">
        <v>32</v>
      </c>
      <c r="H6">
        <v>4</v>
      </c>
      <c r="I6">
        <v>1</v>
      </c>
      <c r="K6">
        <f t="shared" ref="K6:K17" si="1">IFERROR(J6/C6,"")</f>
        <v>0</v>
      </c>
      <c r="O6" t="str">
        <f t="shared" ref="O6:O17" si="2">IFERROR((M6-N6)/N6,"")</f>
        <v/>
      </c>
      <c r="P6" t="str">
        <f t="shared" ref="P6:P17" si="3">IF(J6="","",IF(AND(L6="Y",K6&gt;=0.97,K6&lt;=1.03,IFERROR(ABS(O6)&lt;=0.1,FALSE)),"PASS","FAIL"))</f>
        <v/>
      </c>
      <c r="R6" t="s">
        <v>69</v>
      </c>
      <c r="S6" t="str">
        <f>IFERROR(STDEV(M6:M8)/AVERAGE(M6:M8),"")</f>
        <v/>
      </c>
      <c r="T6" t="str">
        <f>IFERROR(SQRT(((AVERAGE(M6:M8)-N6)/N6)^2+(2*STDEV(M6:M8)/AVERAGE(M6:M8))^2),"")</f>
        <v/>
      </c>
    </row>
    <row r="7" spans="1:20" x14ac:dyDescent="0.3">
      <c r="A7" t="s">
        <v>68</v>
      </c>
      <c r="B7" t="s">
        <v>23</v>
      </c>
      <c r="C7">
        <v>26</v>
      </c>
      <c r="D7">
        <v>56</v>
      </c>
      <c r="E7">
        <v>0.5</v>
      </c>
      <c r="F7">
        <f t="shared" si="0"/>
        <v>15</v>
      </c>
      <c r="G7">
        <v>32</v>
      </c>
      <c r="H7">
        <v>4</v>
      </c>
      <c r="I7">
        <v>2</v>
      </c>
      <c r="K7">
        <f t="shared" si="1"/>
        <v>0</v>
      </c>
      <c r="O7" t="str">
        <f t="shared" si="2"/>
        <v/>
      </c>
      <c r="P7" t="str">
        <f t="shared" si="3"/>
        <v/>
      </c>
    </row>
    <row r="8" spans="1:20" x14ac:dyDescent="0.3">
      <c r="A8" t="s">
        <v>68</v>
      </c>
      <c r="B8" t="s">
        <v>23</v>
      </c>
      <c r="C8">
        <v>26</v>
      </c>
      <c r="D8">
        <v>56</v>
      </c>
      <c r="E8">
        <v>0.5</v>
      </c>
      <c r="F8">
        <f t="shared" si="0"/>
        <v>15</v>
      </c>
      <c r="G8">
        <v>32</v>
      </c>
      <c r="H8">
        <v>4</v>
      </c>
      <c r="I8">
        <v>3</v>
      </c>
      <c r="K8">
        <f t="shared" si="1"/>
        <v>0</v>
      </c>
      <c r="O8" t="str">
        <f t="shared" si="2"/>
        <v/>
      </c>
      <c r="P8" t="str">
        <f t="shared" si="3"/>
        <v/>
      </c>
    </row>
    <row r="9" spans="1:20" x14ac:dyDescent="0.3">
      <c r="A9" t="s">
        <v>70</v>
      </c>
      <c r="B9" t="s">
        <v>23</v>
      </c>
      <c r="C9">
        <v>26</v>
      </c>
      <c r="D9">
        <v>56</v>
      </c>
      <c r="E9">
        <v>0.5</v>
      </c>
      <c r="F9">
        <f t="shared" si="0"/>
        <v>15</v>
      </c>
      <c r="G9">
        <v>64</v>
      </c>
      <c r="H9">
        <v>4</v>
      </c>
      <c r="I9">
        <v>1</v>
      </c>
      <c r="K9">
        <f t="shared" si="1"/>
        <v>0</v>
      </c>
      <c r="O9" t="str">
        <f t="shared" si="2"/>
        <v/>
      </c>
      <c r="P9" t="str">
        <f t="shared" si="3"/>
        <v/>
      </c>
      <c r="R9" t="s">
        <v>71</v>
      </c>
      <c r="S9" t="str">
        <f>IFERROR(STDEV(M9:M11)/AVERAGE(M9:M11),"")</f>
        <v/>
      </c>
      <c r="T9" t="str">
        <f>IFERROR(SQRT(((AVERAGE(M9:M11)-N9)/N9)^2+(2*STDEV(M9:M11)/AVERAGE(M9:M11))^2),"")</f>
        <v/>
      </c>
    </row>
    <row r="10" spans="1:20" x14ac:dyDescent="0.3">
      <c r="A10" t="s">
        <v>70</v>
      </c>
      <c r="B10" t="s">
        <v>23</v>
      </c>
      <c r="C10">
        <v>26</v>
      </c>
      <c r="D10">
        <v>56</v>
      </c>
      <c r="E10">
        <v>0.5</v>
      </c>
      <c r="F10">
        <f t="shared" si="0"/>
        <v>15</v>
      </c>
      <c r="G10">
        <v>64</v>
      </c>
      <c r="H10">
        <v>4</v>
      </c>
      <c r="I10">
        <v>2</v>
      </c>
      <c r="K10">
        <f t="shared" si="1"/>
        <v>0</v>
      </c>
      <c r="O10" t="str">
        <f t="shared" si="2"/>
        <v/>
      </c>
      <c r="P10" t="str">
        <f t="shared" si="3"/>
        <v/>
      </c>
    </row>
    <row r="11" spans="1:20" x14ac:dyDescent="0.3">
      <c r="A11" t="s">
        <v>70</v>
      </c>
      <c r="B11" t="s">
        <v>23</v>
      </c>
      <c r="C11">
        <v>26</v>
      </c>
      <c r="D11">
        <v>56</v>
      </c>
      <c r="E11">
        <v>0.5</v>
      </c>
      <c r="F11">
        <f t="shared" si="0"/>
        <v>15</v>
      </c>
      <c r="G11">
        <v>64</v>
      </c>
      <c r="H11">
        <v>4</v>
      </c>
      <c r="I11">
        <v>3</v>
      </c>
      <c r="K11">
        <f t="shared" si="1"/>
        <v>0</v>
      </c>
      <c r="O11" t="str">
        <f t="shared" si="2"/>
        <v/>
      </c>
      <c r="P11" t="str">
        <f t="shared" si="3"/>
        <v/>
      </c>
    </row>
    <row r="12" spans="1:20" x14ac:dyDescent="0.3">
      <c r="A12" t="s">
        <v>72</v>
      </c>
      <c r="B12" t="s">
        <v>28</v>
      </c>
      <c r="C12">
        <v>86</v>
      </c>
      <c r="D12">
        <v>60.5</v>
      </c>
      <c r="E12">
        <v>0.8</v>
      </c>
      <c r="F12">
        <f t="shared" si="0"/>
        <v>30</v>
      </c>
      <c r="G12">
        <v>32</v>
      </c>
      <c r="H12">
        <v>4</v>
      </c>
      <c r="I12">
        <v>1</v>
      </c>
      <c r="K12">
        <f t="shared" si="1"/>
        <v>0</v>
      </c>
      <c r="O12" t="str">
        <f t="shared" si="2"/>
        <v/>
      </c>
      <c r="P12" t="str">
        <f t="shared" si="3"/>
        <v/>
      </c>
      <c r="R12" t="s">
        <v>73</v>
      </c>
      <c r="S12" t="str">
        <f>IFERROR(STDEV(M12:M14)/AVERAGE(M12:M14),"")</f>
        <v/>
      </c>
      <c r="T12" t="str">
        <f>IFERROR(SQRT(((AVERAGE(M12:M14)-N12)/N12)^2+(2*STDEV(M12:M14)/AVERAGE(M12:M14))^2),"")</f>
        <v/>
      </c>
    </row>
    <row r="13" spans="1:20" x14ac:dyDescent="0.3">
      <c r="A13" t="s">
        <v>72</v>
      </c>
      <c r="B13" t="s">
        <v>28</v>
      </c>
      <c r="C13">
        <v>86</v>
      </c>
      <c r="D13">
        <v>60.5</v>
      </c>
      <c r="E13">
        <v>0.8</v>
      </c>
      <c r="F13">
        <f t="shared" si="0"/>
        <v>30</v>
      </c>
      <c r="G13">
        <v>32</v>
      </c>
      <c r="H13">
        <v>4</v>
      </c>
      <c r="I13">
        <v>2</v>
      </c>
      <c r="K13">
        <f t="shared" si="1"/>
        <v>0</v>
      </c>
      <c r="O13" t="str">
        <f t="shared" si="2"/>
        <v/>
      </c>
      <c r="P13" t="str">
        <f t="shared" si="3"/>
        <v/>
      </c>
    </row>
    <row r="14" spans="1:20" x14ac:dyDescent="0.3">
      <c r="A14" t="s">
        <v>72</v>
      </c>
      <c r="B14" t="s">
        <v>28</v>
      </c>
      <c r="C14">
        <v>86</v>
      </c>
      <c r="D14">
        <v>60.5</v>
      </c>
      <c r="E14">
        <v>0.8</v>
      </c>
      <c r="F14">
        <f t="shared" si="0"/>
        <v>30</v>
      </c>
      <c r="G14">
        <v>32</v>
      </c>
      <c r="H14">
        <v>4</v>
      </c>
      <c r="I14">
        <v>3</v>
      </c>
      <c r="K14">
        <f t="shared" si="1"/>
        <v>0</v>
      </c>
      <c r="O14" t="str">
        <f t="shared" si="2"/>
        <v/>
      </c>
      <c r="P14" t="str">
        <f t="shared" si="3"/>
        <v/>
      </c>
    </row>
    <row r="15" spans="1:20" x14ac:dyDescent="0.3">
      <c r="A15" t="s">
        <v>74</v>
      </c>
      <c r="B15" t="s">
        <v>28</v>
      </c>
      <c r="C15">
        <v>86</v>
      </c>
      <c r="D15">
        <v>60.5</v>
      </c>
      <c r="E15">
        <v>0.8</v>
      </c>
      <c r="F15">
        <f t="shared" si="0"/>
        <v>30</v>
      </c>
      <c r="G15">
        <v>32</v>
      </c>
      <c r="H15">
        <v>6</v>
      </c>
      <c r="I15">
        <v>1</v>
      </c>
      <c r="K15">
        <f t="shared" si="1"/>
        <v>0</v>
      </c>
      <c r="O15" t="str">
        <f t="shared" si="2"/>
        <v/>
      </c>
      <c r="P15" t="str">
        <f t="shared" si="3"/>
        <v/>
      </c>
      <c r="R15" t="s">
        <v>75</v>
      </c>
      <c r="S15" t="str">
        <f>IFERROR(STDEV(M15:M17)/AVERAGE(M15:M17),"")</f>
        <v/>
      </c>
      <c r="T15" t="str">
        <f>IFERROR(SQRT(((AVERAGE(M15:M17)-N15)/N15)^2+(2*STDEV(M15:M17)/AVERAGE(M15:M17))^2),"")</f>
        <v/>
      </c>
    </row>
    <row r="16" spans="1:20" x14ac:dyDescent="0.3">
      <c r="A16" t="s">
        <v>74</v>
      </c>
      <c r="B16" t="s">
        <v>28</v>
      </c>
      <c r="C16">
        <v>86</v>
      </c>
      <c r="D16">
        <v>60.5</v>
      </c>
      <c r="E16">
        <v>0.8</v>
      </c>
      <c r="F16">
        <f t="shared" si="0"/>
        <v>30</v>
      </c>
      <c r="G16">
        <v>32</v>
      </c>
      <c r="H16">
        <v>6</v>
      </c>
      <c r="I16">
        <v>2</v>
      </c>
      <c r="K16">
        <f t="shared" si="1"/>
        <v>0</v>
      </c>
      <c r="O16" t="str">
        <f t="shared" si="2"/>
        <v/>
      </c>
      <c r="P16" t="str">
        <f t="shared" si="3"/>
        <v/>
      </c>
    </row>
    <row r="17" spans="1:16" x14ac:dyDescent="0.3">
      <c r="A17" t="s">
        <v>74</v>
      </c>
      <c r="B17" t="s">
        <v>28</v>
      </c>
      <c r="C17">
        <v>86</v>
      </c>
      <c r="D17">
        <v>60.5</v>
      </c>
      <c r="E17">
        <v>0.8</v>
      </c>
      <c r="F17">
        <f t="shared" si="0"/>
        <v>30</v>
      </c>
      <c r="G17">
        <v>32</v>
      </c>
      <c r="H17">
        <v>6</v>
      </c>
      <c r="I17">
        <v>3</v>
      </c>
      <c r="K17">
        <f t="shared" si="1"/>
        <v>0</v>
      </c>
      <c r="O17" t="str">
        <f t="shared" si="2"/>
        <v/>
      </c>
      <c r="P17" t="str">
        <f t="shared" si="3"/>
        <v/>
      </c>
    </row>
  </sheetData>
  <mergeCells count="2">
    <mergeCell ref="A3:R3"/>
    <mergeCell ref="A2:R2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"/>
  <sheetViews>
    <sheetView workbookViewId="0"/>
  </sheetViews>
  <sheetFormatPr defaultRowHeight="16.5" x14ac:dyDescent="0.3"/>
  <cols>
    <col min="1" max="2" width="8" customWidth="1"/>
    <col min="3" max="3" width="11" customWidth="1"/>
    <col min="4" max="4" width="7" customWidth="1"/>
    <col min="5" max="5" width="9" customWidth="1"/>
    <col min="6" max="6" width="8" customWidth="1"/>
    <col min="7" max="9" width="6" customWidth="1"/>
    <col min="10" max="10" width="11" customWidth="1"/>
    <col min="11" max="11" width="16" customWidth="1"/>
    <col min="12" max="12" width="9" customWidth="1"/>
    <col min="13" max="13" width="16" customWidth="1"/>
    <col min="14" max="14" width="15" customWidth="1"/>
    <col min="15" max="15" width="13" customWidth="1"/>
    <col min="16" max="16" width="10" customWidth="1"/>
    <col min="17" max="17" width="8" customWidth="1"/>
    <col min="18" max="18" width="28" customWidth="1"/>
    <col min="19" max="19" width="14" customWidth="1"/>
    <col min="20" max="20" width="17" customWidth="1"/>
  </cols>
  <sheetData>
    <row r="1" spans="1:20" x14ac:dyDescent="0.3">
      <c r="A1" s="1" t="s">
        <v>76</v>
      </c>
    </row>
    <row r="2" spans="1:20" x14ac:dyDescent="0.3">
      <c r="A2" s="12" t="s">
        <v>77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20" x14ac:dyDescent="0.3">
      <c r="A3" s="8" t="s">
        <v>43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5" spans="1:20" x14ac:dyDescent="0.3">
      <c r="A5" s="5" t="s">
        <v>12</v>
      </c>
      <c r="B5" s="5" t="s">
        <v>13</v>
      </c>
      <c r="C5" s="5" t="s">
        <v>44</v>
      </c>
      <c r="D5" s="5" t="s">
        <v>15</v>
      </c>
      <c r="E5" s="5" t="s">
        <v>45</v>
      </c>
      <c r="F5" s="5" t="s">
        <v>46</v>
      </c>
      <c r="G5" s="5" t="s">
        <v>17</v>
      </c>
      <c r="H5" s="5" t="s">
        <v>18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55</v>
      </c>
      <c r="R5" s="5" t="s">
        <v>21</v>
      </c>
      <c r="S5" s="5" t="s">
        <v>66</v>
      </c>
      <c r="T5" s="5" t="s">
        <v>67</v>
      </c>
    </row>
    <row r="6" spans="1:20" x14ac:dyDescent="0.3">
      <c r="A6" t="s">
        <v>78</v>
      </c>
      <c r="B6" t="s">
        <v>23</v>
      </c>
      <c r="C6">
        <v>26</v>
      </c>
      <c r="D6">
        <v>56</v>
      </c>
      <c r="E6">
        <v>0.5</v>
      </c>
      <c r="F6">
        <f t="shared" ref="F6:F20" si="0">IFERROR(ROUND(C6*0.2828/E6,0),"")</f>
        <v>15</v>
      </c>
      <c r="G6">
        <v>32</v>
      </c>
      <c r="H6">
        <v>4</v>
      </c>
      <c r="I6">
        <v>1</v>
      </c>
      <c r="K6">
        <f t="shared" ref="K6:K20" si="1">IFERROR(J6/C6,"")</f>
        <v>0</v>
      </c>
      <c r="O6" t="str">
        <f t="shared" ref="O6:O20" si="2">IFERROR((M6-N6)/N6,"")</f>
        <v/>
      </c>
      <c r="P6" t="str">
        <f t="shared" ref="P6:P20" si="3">IF(J6="","",IF(AND(L6="Y",K6&gt;=0.97,K6&lt;=1.03,IFERROR(ABS(O6)&lt;=0.1,FALSE)),"PASS","FAIL"))</f>
        <v/>
      </c>
      <c r="R6" t="s">
        <v>79</v>
      </c>
      <c r="S6" t="str">
        <f>IFERROR(STDEV(M6:M7)/AVERAGE(M6:M7),"")</f>
        <v/>
      </c>
      <c r="T6" t="str">
        <f>IFERROR(SQRT(((AVERAGE(M6:M7)-N6)/N6)^2+(2*STDEV(M6:M7)/AVERAGE(M6:M7))^2),"")</f>
        <v/>
      </c>
    </row>
    <row r="7" spans="1:20" x14ac:dyDescent="0.3">
      <c r="A7" t="s">
        <v>78</v>
      </c>
      <c r="B7" t="s">
        <v>23</v>
      </c>
      <c r="C7">
        <v>26</v>
      </c>
      <c r="D7">
        <v>56</v>
      </c>
      <c r="E7">
        <v>0.5</v>
      </c>
      <c r="F7">
        <f t="shared" si="0"/>
        <v>15</v>
      </c>
      <c r="G7">
        <v>32</v>
      </c>
      <c r="H7">
        <v>4</v>
      </c>
      <c r="I7">
        <v>2</v>
      </c>
      <c r="K7">
        <f t="shared" si="1"/>
        <v>0</v>
      </c>
      <c r="O7" t="str">
        <f t="shared" si="2"/>
        <v/>
      </c>
      <c r="P7" t="str">
        <f t="shared" si="3"/>
        <v/>
      </c>
    </row>
    <row r="8" spans="1:20" x14ac:dyDescent="0.3">
      <c r="A8" t="s">
        <v>78</v>
      </c>
      <c r="B8" t="s">
        <v>23</v>
      </c>
      <c r="C8">
        <v>26</v>
      </c>
      <c r="D8">
        <v>56</v>
      </c>
      <c r="E8">
        <v>0.2</v>
      </c>
      <c r="F8">
        <f t="shared" si="0"/>
        <v>37</v>
      </c>
      <c r="G8">
        <v>128</v>
      </c>
      <c r="H8">
        <v>4</v>
      </c>
      <c r="I8">
        <v>1</v>
      </c>
      <c r="K8">
        <f t="shared" si="1"/>
        <v>0</v>
      </c>
      <c r="O8" t="str">
        <f t="shared" si="2"/>
        <v/>
      </c>
      <c r="P8" t="str">
        <f t="shared" si="3"/>
        <v/>
      </c>
      <c r="R8" t="s">
        <v>80</v>
      </c>
      <c r="S8" t="str">
        <f>IFERROR(STDEV(M8:M9)/AVERAGE(M8:M9),"")</f>
        <v/>
      </c>
      <c r="T8" t="str">
        <f>IFERROR(SQRT(((AVERAGE(M8:M9)-N8)/N8)^2+(2*STDEV(M8:M9)/AVERAGE(M8:M9))^2),"")</f>
        <v/>
      </c>
    </row>
    <row r="9" spans="1:20" x14ac:dyDescent="0.3">
      <c r="A9" t="s">
        <v>78</v>
      </c>
      <c r="B9" t="s">
        <v>23</v>
      </c>
      <c r="C9">
        <v>26</v>
      </c>
      <c r="D9">
        <v>56</v>
      </c>
      <c r="E9">
        <v>0.2</v>
      </c>
      <c r="F9">
        <f t="shared" si="0"/>
        <v>37</v>
      </c>
      <c r="G9">
        <v>128</v>
      </c>
      <c r="H9">
        <v>4</v>
      </c>
      <c r="I9">
        <v>2</v>
      </c>
      <c r="K9">
        <f t="shared" si="1"/>
        <v>0</v>
      </c>
      <c r="O9" t="str">
        <f t="shared" si="2"/>
        <v/>
      </c>
      <c r="P9" t="str">
        <f t="shared" si="3"/>
        <v/>
      </c>
    </row>
    <row r="10" spans="1:20" x14ac:dyDescent="0.3">
      <c r="A10" t="s">
        <v>81</v>
      </c>
      <c r="B10" t="s">
        <v>28</v>
      </c>
      <c r="C10">
        <v>86</v>
      </c>
      <c r="D10">
        <v>60.5</v>
      </c>
      <c r="E10">
        <v>0.8</v>
      </c>
      <c r="F10">
        <f t="shared" si="0"/>
        <v>30</v>
      </c>
      <c r="G10">
        <v>32</v>
      </c>
      <c r="H10">
        <v>4</v>
      </c>
      <c r="I10">
        <v>1</v>
      </c>
      <c r="K10">
        <f t="shared" si="1"/>
        <v>0</v>
      </c>
      <c r="O10" t="str">
        <f t="shared" si="2"/>
        <v/>
      </c>
      <c r="P10" t="str">
        <f t="shared" si="3"/>
        <v/>
      </c>
      <c r="R10" t="s">
        <v>82</v>
      </c>
      <c r="S10" t="str">
        <f>IFERROR(STDEV(M10:M11)/AVERAGE(M10:M11),"")</f>
        <v/>
      </c>
      <c r="T10" t="str">
        <f>IFERROR(SQRT(((AVERAGE(M10:M11)-N10)/N10)^2+(2*STDEV(M10:M11)/AVERAGE(M10:M11))^2),"")</f>
        <v/>
      </c>
    </row>
    <row r="11" spans="1:20" x14ac:dyDescent="0.3">
      <c r="A11" t="s">
        <v>81</v>
      </c>
      <c r="B11" t="s">
        <v>28</v>
      </c>
      <c r="C11">
        <v>86</v>
      </c>
      <c r="D11">
        <v>60.5</v>
      </c>
      <c r="E11">
        <v>0.8</v>
      </c>
      <c r="F11">
        <f t="shared" si="0"/>
        <v>30</v>
      </c>
      <c r="G11">
        <v>32</v>
      </c>
      <c r="H11">
        <v>4</v>
      </c>
      <c r="I11">
        <v>2</v>
      </c>
      <c r="K11">
        <f t="shared" si="1"/>
        <v>0</v>
      </c>
      <c r="O11" t="str">
        <f t="shared" si="2"/>
        <v/>
      </c>
      <c r="P11" t="str">
        <f t="shared" si="3"/>
        <v/>
      </c>
    </row>
    <row r="12" spans="1:20" x14ac:dyDescent="0.3">
      <c r="A12" t="s">
        <v>81</v>
      </c>
      <c r="B12" t="s">
        <v>28</v>
      </c>
      <c r="C12">
        <v>86</v>
      </c>
      <c r="D12">
        <v>60.5</v>
      </c>
      <c r="E12">
        <v>1.5</v>
      </c>
      <c r="F12">
        <f t="shared" si="0"/>
        <v>16</v>
      </c>
      <c r="G12">
        <v>32</v>
      </c>
      <c r="H12">
        <v>6</v>
      </c>
      <c r="I12">
        <v>1</v>
      </c>
      <c r="K12">
        <f t="shared" si="1"/>
        <v>0</v>
      </c>
      <c r="O12" t="str">
        <f t="shared" si="2"/>
        <v/>
      </c>
      <c r="P12" t="str">
        <f t="shared" si="3"/>
        <v/>
      </c>
      <c r="R12" t="s">
        <v>83</v>
      </c>
      <c r="S12" t="str">
        <f>IFERROR(STDEV(M12:M13)/AVERAGE(M12:M13),"")</f>
        <v/>
      </c>
      <c r="T12" t="str">
        <f>IFERROR(SQRT(((AVERAGE(M12:M13)-N12)/N12)^2+(2*STDEV(M12:M13)/AVERAGE(M12:M13))^2),"")</f>
        <v/>
      </c>
    </row>
    <row r="13" spans="1:20" x14ac:dyDescent="0.3">
      <c r="A13" t="s">
        <v>81</v>
      </c>
      <c r="B13" t="s">
        <v>28</v>
      </c>
      <c r="C13">
        <v>86</v>
      </c>
      <c r="D13">
        <v>60.5</v>
      </c>
      <c r="E13">
        <v>1.5</v>
      </c>
      <c r="F13">
        <f t="shared" si="0"/>
        <v>16</v>
      </c>
      <c r="G13">
        <v>32</v>
      </c>
      <c r="H13">
        <v>6</v>
      </c>
      <c r="I13">
        <v>2</v>
      </c>
      <c r="K13">
        <f t="shared" si="1"/>
        <v>0</v>
      </c>
      <c r="O13" t="str">
        <f t="shared" si="2"/>
        <v/>
      </c>
      <c r="P13" t="str">
        <f t="shared" si="3"/>
        <v/>
      </c>
    </row>
    <row r="14" spans="1:20" x14ac:dyDescent="0.3">
      <c r="A14" t="s">
        <v>84</v>
      </c>
      <c r="B14" t="s">
        <v>28</v>
      </c>
      <c r="C14">
        <v>86</v>
      </c>
      <c r="D14">
        <v>60.5</v>
      </c>
      <c r="E14">
        <v>0.8</v>
      </c>
      <c r="F14">
        <f t="shared" si="0"/>
        <v>30</v>
      </c>
      <c r="G14">
        <v>64</v>
      </c>
      <c r="H14">
        <v>4</v>
      </c>
      <c r="I14">
        <v>1</v>
      </c>
      <c r="K14">
        <f t="shared" si="1"/>
        <v>0</v>
      </c>
      <c r="O14" t="str">
        <f t="shared" si="2"/>
        <v/>
      </c>
      <c r="P14" t="str">
        <f t="shared" si="3"/>
        <v/>
      </c>
      <c r="R14" t="s">
        <v>85</v>
      </c>
    </row>
    <row r="15" spans="1:20" x14ac:dyDescent="0.3">
      <c r="A15" t="s">
        <v>84</v>
      </c>
      <c r="B15" t="s">
        <v>28</v>
      </c>
      <c r="C15">
        <v>86</v>
      </c>
      <c r="D15">
        <v>60.5</v>
      </c>
      <c r="E15">
        <v>0.8</v>
      </c>
      <c r="F15">
        <f t="shared" si="0"/>
        <v>30</v>
      </c>
      <c r="G15">
        <v>64</v>
      </c>
      <c r="H15">
        <v>6</v>
      </c>
      <c r="I15">
        <v>1</v>
      </c>
      <c r="K15">
        <f t="shared" si="1"/>
        <v>0</v>
      </c>
      <c r="O15" t="str">
        <f t="shared" si="2"/>
        <v/>
      </c>
      <c r="P15" t="str">
        <f t="shared" si="3"/>
        <v/>
      </c>
      <c r="R15" t="s">
        <v>86</v>
      </c>
    </row>
    <row r="16" spans="1:20" x14ac:dyDescent="0.3">
      <c r="A16" t="s">
        <v>84</v>
      </c>
      <c r="B16" t="s">
        <v>28</v>
      </c>
      <c r="C16">
        <v>86</v>
      </c>
      <c r="D16">
        <v>60.5</v>
      </c>
      <c r="E16">
        <v>0.8</v>
      </c>
      <c r="F16">
        <f t="shared" si="0"/>
        <v>30</v>
      </c>
      <c r="G16">
        <v>32</v>
      </c>
      <c r="H16">
        <v>6</v>
      </c>
      <c r="I16">
        <v>1</v>
      </c>
      <c r="K16">
        <f t="shared" si="1"/>
        <v>0</v>
      </c>
      <c r="O16" t="str">
        <f t="shared" si="2"/>
        <v/>
      </c>
      <c r="P16" t="str">
        <f t="shared" si="3"/>
        <v/>
      </c>
      <c r="R16" t="s">
        <v>87</v>
      </c>
    </row>
    <row r="17" spans="1:18" x14ac:dyDescent="0.3">
      <c r="A17" t="s">
        <v>88</v>
      </c>
      <c r="B17" t="s">
        <v>23</v>
      </c>
      <c r="C17">
        <v>26</v>
      </c>
      <c r="D17">
        <v>58</v>
      </c>
      <c r="E17">
        <v>0.5</v>
      </c>
      <c r="F17">
        <f t="shared" si="0"/>
        <v>15</v>
      </c>
      <c r="G17">
        <v>32</v>
      </c>
      <c r="H17">
        <v>4</v>
      </c>
      <c r="I17">
        <v>1</v>
      </c>
      <c r="K17">
        <f t="shared" si="1"/>
        <v>0</v>
      </c>
      <c r="O17" t="str">
        <f t="shared" si="2"/>
        <v/>
      </c>
      <c r="P17" t="str">
        <f t="shared" si="3"/>
        <v/>
      </c>
      <c r="R17" t="s">
        <v>89</v>
      </c>
    </row>
    <row r="18" spans="1:18" x14ac:dyDescent="0.3">
      <c r="A18" t="s">
        <v>88</v>
      </c>
      <c r="B18" t="s">
        <v>23</v>
      </c>
      <c r="C18">
        <v>26</v>
      </c>
      <c r="D18">
        <v>58</v>
      </c>
      <c r="E18">
        <v>0.5</v>
      </c>
      <c r="F18">
        <f t="shared" si="0"/>
        <v>15</v>
      </c>
      <c r="G18">
        <v>128</v>
      </c>
      <c r="H18">
        <v>4</v>
      </c>
      <c r="I18">
        <v>1</v>
      </c>
      <c r="K18">
        <f t="shared" si="1"/>
        <v>0</v>
      </c>
      <c r="O18" t="str">
        <f t="shared" si="2"/>
        <v/>
      </c>
      <c r="P18" t="str">
        <f t="shared" si="3"/>
        <v/>
      </c>
      <c r="R18" t="s">
        <v>90</v>
      </c>
    </row>
    <row r="19" spans="1:18" x14ac:dyDescent="0.3">
      <c r="A19" t="s">
        <v>91</v>
      </c>
      <c r="B19" t="s">
        <v>28</v>
      </c>
      <c r="C19">
        <v>86</v>
      </c>
      <c r="D19">
        <v>58.5</v>
      </c>
      <c r="E19">
        <v>0.8</v>
      </c>
      <c r="F19">
        <f t="shared" si="0"/>
        <v>30</v>
      </c>
      <c r="G19">
        <v>32</v>
      </c>
      <c r="H19">
        <v>4</v>
      </c>
      <c r="I19">
        <v>1</v>
      </c>
      <c r="K19">
        <f t="shared" si="1"/>
        <v>0</v>
      </c>
      <c r="O19" t="str">
        <f t="shared" si="2"/>
        <v/>
      </c>
      <c r="P19" t="str">
        <f t="shared" si="3"/>
        <v/>
      </c>
      <c r="R19" t="s">
        <v>92</v>
      </c>
    </row>
    <row r="20" spans="1:18" x14ac:dyDescent="0.3">
      <c r="A20" t="s">
        <v>91</v>
      </c>
      <c r="B20" t="s">
        <v>28</v>
      </c>
      <c r="C20">
        <v>86</v>
      </c>
      <c r="D20">
        <v>58.5</v>
      </c>
      <c r="E20">
        <v>0.8</v>
      </c>
      <c r="F20">
        <f t="shared" si="0"/>
        <v>30</v>
      </c>
      <c r="G20">
        <v>32</v>
      </c>
      <c r="H20">
        <v>6</v>
      </c>
      <c r="I20">
        <v>1</v>
      </c>
      <c r="K20">
        <f t="shared" si="1"/>
        <v>0</v>
      </c>
      <c r="O20" t="str">
        <f t="shared" si="2"/>
        <v/>
      </c>
      <c r="P20" t="str">
        <f t="shared" si="3"/>
        <v/>
      </c>
      <c r="R20" t="s">
        <v>93</v>
      </c>
    </row>
  </sheetData>
  <mergeCells count="2">
    <mergeCell ref="A3:R3"/>
    <mergeCell ref="A2:R2"/>
  </mergeCells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1"/>
  <sheetViews>
    <sheetView workbookViewId="0"/>
  </sheetViews>
  <sheetFormatPr defaultRowHeight="16.5" x14ac:dyDescent="0.3"/>
  <cols>
    <col min="1" max="2" width="8" customWidth="1"/>
    <col min="3" max="3" width="11" customWidth="1"/>
    <col min="4" max="4" width="7" customWidth="1"/>
    <col min="5" max="5" width="9" customWidth="1"/>
    <col min="6" max="6" width="8" customWidth="1"/>
    <col min="7" max="9" width="6" customWidth="1"/>
    <col min="10" max="10" width="11" customWidth="1"/>
    <col min="11" max="11" width="16" customWidth="1"/>
    <col min="12" max="12" width="9" customWidth="1"/>
    <col min="13" max="13" width="16" customWidth="1"/>
    <col min="14" max="14" width="15" customWidth="1"/>
    <col min="15" max="15" width="13" customWidth="1"/>
    <col min="16" max="16" width="10" customWidth="1"/>
    <col min="17" max="17" width="8" customWidth="1"/>
    <col min="18" max="18" width="28" customWidth="1"/>
    <col min="19" max="19" width="14" customWidth="1"/>
    <col min="20" max="20" width="17" customWidth="1"/>
  </cols>
  <sheetData>
    <row r="1" spans="1:20" x14ac:dyDescent="0.3">
      <c r="A1" s="1" t="s">
        <v>94</v>
      </c>
    </row>
    <row r="2" spans="1:20" x14ac:dyDescent="0.3">
      <c r="A2" s="12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20" x14ac:dyDescent="0.3">
      <c r="A3" s="8" t="s">
        <v>43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5" spans="1:20" x14ac:dyDescent="0.3">
      <c r="A5" s="5" t="s">
        <v>12</v>
      </c>
      <c r="B5" s="5" t="s">
        <v>13</v>
      </c>
      <c r="C5" s="5" t="s">
        <v>44</v>
      </c>
      <c r="D5" s="5" t="s">
        <v>15</v>
      </c>
      <c r="E5" s="5" t="s">
        <v>45</v>
      </c>
      <c r="F5" s="5" t="s">
        <v>46</v>
      </c>
      <c r="G5" s="5" t="s">
        <v>17</v>
      </c>
      <c r="H5" s="5" t="s">
        <v>18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55</v>
      </c>
      <c r="R5" s="5" t="s">
        <v>21</v>
      </c>
      <c r="S5" s="5" t="s">
        <v>66</v>
      </c>
      <c r="T5" s="5" t="s">
        <v>67</v>
      </c>
    </row>
    <row r="6" spans="1:20" x14ac:dyDescent="0.3">
      <c r="A6" t="s">
        <v>96</v>
      </c>
      <c r="B6" t="s">
        <v>23</v>
      </c>
      <c r="C6">
        <v>26</v>
      </c>
      <c r="D6" t="s">
        <v>97</v>
      </c>
      <c r="E6" t="s">
        <v>98</v>
      </c>
      <c r="F6" t="str">
        <f t="shared" ref="F6:F11" si="0">IFERROR(ROUND(C6*0.2828/E6,0),"")</f>
        <v/>
      </c>
      <c r="G6" t="s">
        <v>99</v>
      </c>
      <c r="H6" t="s">
        <v>100</v>
      </c>
      <c r="I6">
        <v>1</v>
      </c>
      <c r="K6">
        <f t="shared" ref="K6:K11" si="1">IFERROR(J6/C6,"")</f>
        <v>0</v>
      </c>
      <c r="O6" t="str">
        <f t="shared" ref="O6:O11" si="2">IFERROR((M6-N6)/N6,"")</f>
        <v/>
      </c>
      <c r="P6" t="str">
        <f t="shared" ref="P6:P11" si="3">IF(J6="","",IF(AND(L6="Y",K6&gt;=0.97,K6&lt;=1.03,IFERROR(ABS(O6)&lt;=0.1,FALSE)),"PASS","FAIL"))</f>
        <v/>
      </c>
      <c r="R6" t="s">
        <v>101</v>
      </c>
      <c r="S6" t="str">
        <f>IFERROR(STDEV(M6:M8)/AVERAGE(M6:M8),"")</f>
        <v/>
      </c>
      <c r="T6" t="str">
        <f>IFERROR(SQRT(((AVERAGE(M6:M8)-N6)/N6)^2+(2*STDEV(M6:M8)/AVERAGE(M6:M8))^2),"")</f>
        <v/>
      </c>
    </row>
    <row r="7" spans="1:20" x14ac:dyDescent="0.3">
      <c r="A7" t="s">
        <v>96</v>
      </c>
      <c r="B7" t="s">
        <v>23</v>
      </c>
      <c r="C7">
        <v>26</v>
      </c>
      <c r="D7" t="s">
        <v>97</v>
      </c>
      <c r="E7" t="s">
        <v>98</v>
      </c>
      <c r="F7" t="str">
        <f t="shared" si="0"/>
        <v/>
      </c>
      <c r="G7" t="s">
        <v>99</v>
      </c>
      <c r="H7" t="s">
        <v>100</v>
      </c>
      <c r="I7">
        <v>2</v>
      </c>
      <c r="K7">
        <f t="shared" si="1"/>
        <v>0</v>
      </c>
      <c r="O7" t="str">
        <f t="shared" si="2"/>
        <v/>
      </c>
      <c r="P7" t="str">
        <f t="shared" si="3"/>
        <v/>
      </c>
    </row>
    <row r="8" spans="1:20" x14ac:dyDescent="0.3">
      <c r="A8" t="s">
        <v>96</v>
      </c>
      <c r="B8" t="s">
        <v>23</v>
      </c>
      <c r="C8">
        <v>26</v>
      </c>
      <c r="D8" t="s">
        <v>97</v>
      </c>
      <c r="E8" t="s">
        <v>98</v>
      </c>
      <c r="F8" t="str">
        <f t="shared" si="0"/>
        <v/>
      </c>
      <c r="G8" t="s">
        <v>99</v>
      </c>
      <c r="H8" t="s">
        <v>100</v>
      </c>
      <c r="I8">
        <v>3</v>
      </c>
      <c r="K8">
        <f t="shared" si="1"/>
        <v>0</v>
      </c>
      <c r="O8" t="str">
        <f t="shared" si="2"/>
        <v/>
      </c>
      <c r="P8" t="str">
        <f t="shared" si="3"/>
        <v/>
      </c>
    </row>
    <row r="9" spans="1:20" x14ac:dyDescent="0.3">
      <c r="A9" t="s">
        <v>102</v>
      </c>
      <c r="B9" t="s">
        <v>28</v>
      </c>
      <c r="C9">
        <v>86</v>
      </c>
      <c r="D9" t="s">
        <v>103</v>
      </c>
      <c r="E9" t="s">
        <v>104</v>
      </c>
      <c r="F9" t="str">
        <f t="shared" si="0"/>
        <v/>
      </c>
      <c r="G9" t="s">
        <v>99</v>
      </c>
      <c r="H9" t="s">
        <v>105</v>
      </c>
      <c r="I9">
        <v>1</v>
      </c>
      <c r="K9">
        <f t="shared" si="1"/>
        <v>0</v>
      </c>
      <c r="O9" t="str">
        <f t="shared" si="2"/>
        <v/>
      </c>
      <c r="P9" t="str">
        <f t="shared" si="3"/>
        <v/>
      </c>
      <c r="R9" t="s">
        <v>106</v>
      </c>
      <c r="S9" t="str">
        <f>IFERROR(STDEV(M9:M11)/AVERAGE(M9:M11),"")</f>
        <v/>
      </c>
      <c r="T9" t="str">
        <f>IFERROR(SQRT(((AVERAGE(M9:M11)-N9)/N9)^2+(2*STDEV(M9:M11)/AVERAGE(M9:M11))^2),"")</f>
        <v/>
      </c>
    </row>
    <row r="10" spans="1:20" x14ac:dyDescent="0.3">
      <c r="A10" t="s">
        <v>102</v>
      </c>
      <c r="B10" t="s">
        <v>28</v>
      </c>
      <c r="C10">
        <v>86</v>
      </c>
      <c r="D10" t="s">
        <v>103</v>
      </c>
      <c r="E10" t="s">
        <v>104</v>
      </c>
      <c r="F10" t="str">
        <f t="shared" si="0"/>
        <v/>
      </c>
      <c r="G10" t="s">
        <v>99</v>
      </c>
      <c r="H10" t="s">
        <v>105</v>
      </c>
      <c r="I10">
        <v>2</v>
      </c>
      <c r="K10">
        <f t="shared" si="1"/>
        <v>0</v>
      </c>
      <c r="O10" t="str">
        <f t="shared" si="2"/>
        <v/>
      </c>
      <c r="P10" t="str">
        <f t="shared" si="3"/>
        <v/>
      </c>
    </row>
    <row r="11" spans="1:20" x14ac:dyDescent="0.3">
      <c r="A11" t="s">
        <v>102</v>
      </c>
      <c r="B11" t="s">
        <v>28</v>
      </c>
      <c r="C11">
        <v>86</v>
      </c>
      <c r="D11" t="s">
        <v>103</v>
      </c>
      <c r="E11" t="s">
        <v>104</v>
      </c>
      <c r="F11" t="str">
        <f t="shared" si="0"/>
        <v/>
      </c>
      <c r="G11" t="s">
        <v>99</v>
      </c>
      <c r="H11" t="s">
        <v>105</v>
      </c>
      <c r="I11">
        <v>3</v>
      </c>
      <c r="K11">
        <f t="shared" si="1"/>
        <v>0</v>
      </c>
      <c r="O11" t="str">
        <f t="shared" si="2"/>
        <v/>
      </c>
      <c r="P11" t="str">
        <f t="shared" si="3"/>
        <v/>
      </c>
    </row>
  </sheetData>
  <mergeCells count="2">
    <mergeCell ref="A3:R3"/>
    <mergeCell ref="A2:R2"/>
  </mergeCells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6.5" x14ac:dyDescent="0.3"/>
  <cols>
    <col min="1" max="1" width="14" customWidth="1"/>
    <col min="2" max="2" width="30" customWidth="1"/>
    <col min="3" max="8" width="9" customWidth="1"/>
  </cols>
  <sheetData>
    <row r="1" spans="1:8" x14ac:dyDescent="0.3">
      <c r="A1" s="1" t="s">
        <v>107</v>
      </c>
    </row>
    <row r="3" spans="1:8" x14ac:dyDescent="0.3">
      <c r="A3" s="2" t="s">
        <v>108</v>
      </c>
    </row>
    <row r="4" spans="1:8" x14ac:dyDescent="0.3">
      <c r="A4" s="1" t="s">
        <v>109</v>
      </c>
      <c r="B4" s="8" t="s">
        <v>110</v>
      </c>
      <c r="C4" s="7"/>
      <c r="D4" s="7"/>
      <c r="E4" s="7"/>
      <c r="F4" s="7"/>
      <c r="G4" s="7"/>
      <c r="H4" s="7"/>
    </row>
    <row r="5" spans="1:8" x14ac:dyDescent="0.3">
      <c r="A5" s="1" t="s">
        <v>111</v>
      </c>
      <c r="B5" s="8" t="s">
        <v>112</v>
      </c>
      <c r="C5" s="7"/>
      <c r="D5" s="7"/>
      <c r="E5" s="7"/>
      <c r="F5" s="7"/>
      <c r="G5" s="7"/>
      <c r="H5" s="7"/>
    </row>
    <row r="6" spans="1:8" x14ac:dyDescent="0.3">
      <c r="A6" s="1" t="s">
        <v>113</v>
      </c>
      <c r="B6" s="8" t="s">
        <v>114</v>
      </c>
      <c r="C6" s="7"/>
      <c r="D6" s="7"/>
      <c r="E6" s="7"/>
      <c r="F6" s="7"/>
      <c r="G6" s="7"/>
      <c r="H6" s="7"/>
    </row>
    <row r="7" spans="1:8" x14ac:dyDescent="0.3">
      <c r="A7" s="1" t="s">
        <v>115</v>
      </c>
      <c r="B7" s="8" t="s">
        <v>116</v>
      </c>
      <c r="C7" s="7"/>
      <c r="D7" s="7"/>
      <c r="E7" s="7"/>
      <c r="F7" s="7"/>
      <c r="G7" s="7"/>
      <c r="H7" s="7"/>
    </row>
    <row r="9" spans="1:8" x14ac:dyDescent="0.3">
      <c r="A9" s="3" t="s">
        <v>117</v>
      </c>
    </row>
    <row r="10" spans="1:8" x14ac:dyDescent="0.3">
      <c r="A10" s="1" t="s">
        <v>118</v>
      </c>
      <c r="B10" s="8" t="s">
        <v>119</v>
      </c>
      <c r="C10" s="7"/>
      <c r="D10" s="7"/>
      <c r="E10" s="7"/>
      <c r="F10" s="7"/>
      <c r="G10" s="7"/>
      <c r="H10" s="7"/>
    </row>
    <row r="11" spans="1:8" x14ac:dyDescent="0.3">
      <c r="A11" s="1" t="s">
        <v>120</v>
      </c>
      <c r="B11" s="8" t="s">
        <v>121</v>
      </c>
      <c r="C11" s="7"/>
      <c r="D11" s="7"/>
      <c r="E11" s="7"/>
      <c r="F11" s="7"/>
      <c r="G11" s="7"/>
      <c r="H11" s="7"/>
    </row>
    <row r="12" spans="1:8" x14ac:dyDescent="0.3">
      <c r="A12" s="1" t="s">
        <v>122</v>
      </c>
      <c r="B12" s="8" t="s">
        <v>123</v>
      </c>
      <c r="C12" s="7"/>
      <c r="D12" s="7"/>
      <c r="E12" s="7"/>
      <c r="F12" s="7"/>
      <c r="G12" s="7"/>
      <c r="H12" s="7"/>
    </row>
    <row r="13" spans="1:8" x14ac:dyDescent="0.3">
      <c r="A13" s="1" t="s">
        <v>124</v>
      </c>
      <c r="B13" s="8" t="s">
        <v>125</v>
      </c>
      <c r="C13" s="7"/>
      <c r="D13" s="7"/>
      <c r="E13" s="7"/>
      <c r="F13" s="7"/>
      <c r="G13" s="7"/>
      <c r="H13" s="7"/>
    </row>
    <row r="15" spans="1:8" x14ac:dyDescent="0.3">
      <c r="A15" s="8" t="s">
        <v>126</v>
      </c>
      <c r="B15" s="7"/>
      <c r="C15" s="7"/>
      <c r="D15" s="7"/>
      <c r="E15" s="7"/>
      <c r="F15" s="7"/>
      <c r="G15" s="7"/>
      <c r="H15" s="7"/>
    </row>
    <row r="16" spans="1:8" x14ac:dyDescent="0.3">
      <c r="A16" s="7"/>
      <c r="B16" s="7"/>
      <c r="C16" s="7"/>
      <c r="D16" s="7"/>
      <c r="E16" s="7"/>
      <c r="F16" s="7"/>
      <c r="G16" s="7"/>
      <c r="H16" s="7"/>
    </row>
  </sheetData>
  <mergeCells count="9">
    <mergeCell ref="B13:H13"/>
    <mergeCell ref="A15:H16"/>
    <mergeCell ref="B4:H4"/>
    <mergeCell ref="B12:H12"/>
    <mergeCell ref="B6:H6"/>
    <mergeCell ref="B10:H10"/>
    <mergeCell ref="B7:H7"/>
    <mergeCell ref="B11:H11"/>
    <mergeCell ref="B5:H5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설계_설명</vt:lpstr>
      <vt:lpstr>1차실측</vt:lpstr>
      <vt:lpstr>Phase1_주효과_kV·R</vt:lpstr>
      <vt:lpstr>Phase2_재현성_F·W</vt:lpstr>
      <vt:lpstr>Phase3_교호작용</vt:lpstr>
      <vt:lpstr>Phase4_확인</vt:lpstr>
      <vt:lpstr>분석_역설계모델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MinKyu Kim</cp:lastModifiedBy>
  <dcterms:created xsi:type="dcterms:W3CDTF">2026-07-09T03:29:32Z</dcterms:created>
  <dcterms:modified xsi:type="dcterms:W3CDTF">2026-07-09T03:41:16Z</dcterms:modified>
</cp:coreProperties>
</file>