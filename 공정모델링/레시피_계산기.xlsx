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50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포물선의 정점(2 anchor 직선 보간). 실검사서 ±1kV 트림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 ht="30" customHeight="1">
      <c r="A11" t="inlineStr">
        <is>
          <t>R 상한 (이론, N8≥14 공식)</t>
        </is>
      </c>
      <c r="B11" s="5">
        <f>ROUND(B5*0.2828/14,2)</f>
        <v/>
      </c>
      <c r="C11" t="inlineStr">
        <is>
          <t>µm/px</t>
        </is>
      </c>
      <c r="D11" s="2" t="inlineStr">
        <is>
          <t>N8 게이트 공식값. F가 N8에 영향 없다는 가정(additive 회귀) 하의 이론 상한</t>
        </is>
      </c>
    </row>
    <row r="12" ht="30" customHeight="1">
      <c r="A12" t="inlineStr">
        <is>
          <t>R 실측 확인 상한 (F=32·정점kV)</t>
        </is>
      </c>
      <c r="B12" s="5">
        <f>ROUND(0.5+(0.8-0.5)/(86-26)*(B5-26),2)</f>
        <v/>
      </c>
      <c r="C12" t="inlineStr">
        <is>
          <t>µm/px</t>
        </is>
      </c>
      <c r="D12" s="2" t="inlineStr">
        <is>
          <t>F=32·정점kV 조합에서 실제로 두 게이트를 통과한 값(26µm=0.5, 86µm=0.8, 2anchor 보간). 이 값을 넘는 R은 F=32에서 미검증(Phase B1 대상)</t>
        </is>
      </c>
    </row>
    <row r="13">
      <c r="A13" t="inlineStr">
        <is>
          <t>R 권장 범위 (하한~상한)</t>
        </is>
      </c>
      <c r="B13" s="5">
        <f>"0.2(장비 하한) ~ "&amp;TEXT(MIN(B11,B12),"0.00")&amp;" µm/px"</f>
        <v/>
      </c>
      <c r="C13" t="inlineStr"/>
      <c r="D13" s="2" t="inlineStr">
        <is>
          <t>권장 상한 = 이론·실측확인 중 더 보수적인 값(=MIN). 하한 0.2는 장비 물리 하한(광자부족 위험 구간)</t>
        </is>
      </c>
    </row>
    <row r="14">
      <c r="A14" t="inlineStr">
        <is>
          <t>R 추천</t>
        </is>
      </c>
      <c r="B14" s="5">
        <f>MIN(B11,B12)</f>
        <v/>
      </c>
      <c r="C14" t="inlineStr">
        <is>
          <t>µm/px</t>
        </is>
      </c>
      <c r="D14" s="2" t="inlineStr">
        <is>
          <t>범위 내 가장 거친(빠른) R — 해상도 여유를 최소로 쓰는 값. 이 이상 낮추려면 Phase B1(R×F) 확인 필요</t>
        </is>
      </c>
    </row>
    <row r="15" ht="30" customHeight="1">
      <c r="A15" t="inlineStr">
        <is>
          <t>F 범위 (테스트 확인)</t>
        </is>
      </c>
      <c r="B15" s="5" t="inlineStr">
        <is>
          <t>32 ~ 128</t>
        </is>
      </c>
      <c r="C15" t="inlineStr">
        <is>
          <t>장비 배율</t>
        </is>
      </c>
      <c r="D15" s="2" t="inlineStr">
        <is>
          <t>실측 테스트 구간(kV60·R0.5): F[32.0, 64.0, 128.0] → 평균 Q_dia=[0.9791, 0.9792, 0.9819](편차 0.28%p) → 전 구간 직경 무영향</t>
        </is>
      </c>
    </row>
    <row r="16">
      <c r="A16" t="inlineStr">
        <is>
          <t>F 추천</t>
        </is>
      </c>
      <c r="B16" s="5" t="n">
        <v>32</v>
      </c>
      <c r="C16" t="inlineStr">
        <is>
          <t>장비 최소</t>
        </is>
      </c>
      <c r="D16" s="2" t="inlineStr">
        <is>
          <t>직경 무영향 확인 구간의 최소값 사용 → tact만 아끼는 선택. void σ 예산(2차 모델링)이 정해지면 상향될 수 있음</t>
        </is>
      </c>
    </row>
    <row r="17" ht="30" customHeight="1">
      <c r="A17" t="inlineStr">
        <is>
          <t>W 범위 (테스트 확인)</t>
        </is>
      </c>
      <c r="B17" s="5" t="inlineStr">
        <is>
          <t>4 ~ 6</t>
        </is>
      </c>
      <c r="C17" t="inlineStr"/>
      <c r="D17" s="2" t="inlineStr">
        <is>
          <t>실측 테스트 구간(동일 조건): W[4.0, 6.0] → 평균 Q_dia=[0.9799, 0.9802](편차 0.03%p) → 전 구간 직경 무영향</t>
        </is>
      </c>
    </row>
    <row r="18">
      <c r="A18" t="inlineStr">
        <is>
          <t>W 추천</t>
        </is>
      </c>
      <c r="B18" s="5" t="n">
        <v>4</v>
      </c>
      <c r="D18" s="2" t="inlineStr">
        <is>
          <t>직경 무영향 확인 구간의 기본값(최소) 사용. 두꺼운 자재 도입 시(SNR 부족) 재검토 필요</t>
        </is>
      </c>
    </row>
    <row r="19">
      <c r="A19" t="inlineStr">
        <is>
          <t>예상 Tact (s, 근사)</t>
        </is>
      </c>
      <c r="B19" s="5">
        <f>ROUND(119.098+(0.03907+-0.01071*B16/64)*B6,0)</f>
        <v/>
      </c>
      <c r="C19" t="inlineStr">
        <is>
          <t>초</t>
        </is>
      </c>
      <c r="D19" s="2" t="inlineStr">
        <is>
          <t>tact≈b0+(계수)·bump수. 검사 범프수·F로 추정</t>
        </is>
      </c>
    </row>
    <row r="21">
      <c r="A21" s="6" t="inlineStr">
        <is>
          <t>■ 주의 (실측 기반)</t>
        </is>
      </c>
    </row>
    <row r="22">
      <c r="A22" s="2" t="inlineStr">
        <is>
          <t>① kV–직경은 포물선 → kV는 정점(≈60)에 고정, ±2kV에 직경 8%/kV 급변. ② 오차기준 ε=20%(N8≥14)로 통일 → 26µm도 R≤0.5에서 통과(자세한 근거는 '오차기준_근거' 시트). ③ R 실측확인 상한(F=32)은 N8 이론 상한보다 보수적 — F를 올리면(R×F, Phase B1 미검증) 더 낮은 R도 가능할 수 있음. ④ void 판정 정확도(False OK/NG)는 8% 근처 void 샘플 확보 후 검증(2차 모델링). ⑤ F/W는 직경 무영향 확인 구간 내 최소값을 권장(비용 최소화) — R처럼 상/하한이 있는 게 아니라 '무관하니 최소'가 근거.</t>
        </is>
      </c>
    </row>
    <row r="23"/>
    <row r="24"/>
    <row r="25"/>
    <row r="26"/>
  </sheetData>
  <mergeCells count="2">
    <mergeCell ref="A2:E2"/>
    <mergeCell ref="A22:E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26µm의 R=0.35는 F=128에서만 확인됨 — F=32×R=0.35 조합은 데이터에 아예 없음(미검증, R하한 0.5는 F=32 기준 실측확인값). F를 올리면 R을 더 낮출 여지가 있는지가 Phase B1의 핵심 질문.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F/W 범위·추천 행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2026-07-18T09:15:38Z</dcterms:created>
  <dcterms:modified xmlns:dcterms="http://purl.org/dc/terms/" xmlns:xsi="http://www.w3.org/2001/XMLSchema-instance" xsi:type="dcterms:W3CDTF">2026-07-18T09:15:38Z</dcterms:modified>
</cp:coreProperties>
</file>