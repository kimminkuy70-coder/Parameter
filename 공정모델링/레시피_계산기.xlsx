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레시피_계산기" sheetId="1" state="visible" r:id="rId1"/>
    <sheet xmlns:r="http://schemas.openxmlformats.org/officeDocument/2006/relationships" name="파라미터_메커니즘" sheetId="2" state="visible" r:id="rId2"/>
    <sheet xmlns:r="http://schemas.openxmlformats.org/officeDocument/2006/relationships" name="오차기준_근거" sheetId="3" state="visible" r:id="rId3"/>
    <sheet xmlns:r="http://schemas.openxmlformats.org/officeDocument/2006/relationships" name="모델계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6" customWidth="1" min="4" max="4"/>
    <col width="6" customWidth="1" min="5" max="5"/>
  </cols>
  <sheetData>
    <row r="1">
      <c r="A1" s="1" t="inlineStr">
        <is>
          <t>X-ray 레시피 계산기 (DOE 38런 회귀 기반)</t>
        </is>
      </c>
    </row>
    <row r="2">
      <c r="A2" s="2" t="inlineStr">
        <is>
          <t>노란칸=입력. PD 직경만 넣으면 kV/R/F/W 추천이 나옵니다. 계수는 pipeline.py가 산출.</t>
        </is>
      </c>
    </row>
    <row r="4">
      <c r="A4" s="3" t="inlineStr">
        <is>
          <t>■ 입력</t>
        </is>
      </c>
    </row>
    <row r="5">
      <c r="A5" t="inlineStr">
        <is>
          <t>PD 직경 D (µm)</t>
        </is>
      </c>
      <c r="B5" s="4" t="n">
        <v>86</v>
      </c>
      <c r="C5" t="inlineStr">
        <is>
          <t>µm</t>
        </is>
      </c>
    </row>
    <row r="6">
      <c r="A6" t="inlineStr">
        <is>
          <t>검사할 범프 수(목표)</t>
        </is>
      </c>
      <c r="B6" s="4" t="n">
        <v>300</v>
      </c>
      <c r="C6" t="inlineStr">
        <is>
          <t>개</t>
        </is>
      </c>
    </row>
    <row r="8">
      <c r="A8" s="3" t="inlineStr">
        <is>
          <t>■ 추천 (자동)</t>
        </is>
      </c>
    </row>
    <row r="9">
      <c r="A9" t="inlineStr">
        <is>
          <t>kV* (추천 시작 전압)</t>
        </is>
      </c>
      <c r="B9" s="5">
        <f>ROUND(59.9903+-0.00117*B5,1)</f>
        <v/>
      </c>
      <c r="C9" t="inlineStr">
        <is>
          <t>kV</t>
        </is>
      </c>
      <c r="D9" s="2" t="inlineStr">
        <is>
          <t>kV–직경 포물선의 정점(2 anchor 직선 보간). 실검사서 ±1kV 트림</t>
        </is>
      </c>
    </row>
    <row r="10">
      <c r="A10" t="inlineStr">
        <is>
          <t>예측 Q_dia @ kV*</t>
        </is>
      </c>
      <c r="B10" s="5">
        <f>ROUND(0.9814+(1.0101-0.9814)/(86-26)*(B5-26),3)</f>
        <v/>
      </c>
      <c r="C10" t="inlineStr">
        <is>
          <t>-</t>
        </is>
      </c>
      <c r="D10" s="2" t="inlineStr">
        <is>
          <t>정점에서 얻는 최대 Q(≈1). 26µm은 ~0.98가 한계</t>
        </is>
      </c>
    </row>
    <row r="11">
      <c r="A11" t="inlineStr">
        <is>
          <t>R 상한 (N8≥29)</t>
        </is>
      </c>
      <c r="B11" s="5">
        <f>ROUND(B5*0.2828/14,2)</f>
        <v/>
      </c>
      <c r="C11" t="inlineStr">
        <is>
          <t>µm/px</t>
        </is>
      </c>
      <c r="D11" s="2" t="inlineStr">
        <is>
          <t>이 값 이하라야 8% void 해상도 확보. 26µm은 측정가능 R보다 작아 달성 불가</t>
        </is>
      </c>
    </row>
    <row r="12">
      <c r="A12" t="inlineStr">
        <is>
          <t>R 추천</t>
        </is>
      </c>
      <c r="B12" s="5">
        <f>IF(B11&gt;=0.35,MIN(B11,0.8),"측정불가(광자부족)→직경만")</f>
        <v/>
      </c>
      <c r="C12" t="inlineStr">
        <is>
          <t>µm/px</t>
        </is>
      </c>
      <c r="D12" s="2" t="inlineStr">
        <is>
          <t>N8 상한과 측정하한(0.35) 사이. 없으면 8% void 정량 불가</t>
        </is>
      </c>
    </row>
    <row r="13">
      <c r="A13" t="inlineStr">
        <is>
          <t>F 추천</t>
        </is>
      </c>
      <c r="B13" s="5" t="n">
        <v>32</v>
      </c>
      <c r="C13" t="inlineStr">
        <is>
          <t>장비 최소</t>
        </is>
      </c>
      <c r="D13" s="2" t="inlineStr">
        <is>
          <t>직경엔 F 영향 미미 → 최소 32. void σ는 별도</t>
        </is>
      </c>
    </row>
    <row r="14">
      <c r="A14" t="inlineStr">
        <is>
          <t>W 추천</t>
        </is>
      </c>
      <c r="B14" s="5" t="n">
        <v>4</v>
      </c>
      <c r="D14" s="2" t="inlineStr">
        <is>
          <t>W 효과 미검출 → 4 고정</t>
        </is>
      </c>
    </row>
    <row r="15">
      <c r="A15" t="inlineStr">
        <is>
          <t>예상 Tact (s, 근사)</t>
        </is>
      </c>
      <c r="B15" s="5">
        <f>ROUND(119.098+(0.03907+-0.01071*B13/64)*B6,0)</f>
        <v/>
      </c>
      <c r="C15" t="inlineStr">
        <is>
          <t>초</t>
        </is>
      </c>
      <c r="D15" s="2" t="inlineStr">
        <is>
          <t>tact≈b0+(계수)·bump수. 검사 범프수·F로 추정</t>
        </is>
      </c>
    </row>
    <row r="17">
      <c r="A17" s="6" t="inlineStr">
        <is>
          <t>■ 주의 (실측 기반)</t>
        </is>
      </c>
    </row>
    <row r="18">
      <c r="A18" s="2" t="inlineStr">
        <is>
          <t>① kV–직경은 포물선 → kV는 정점(≈60)에 고정, ±2kV에 직경 8%/kV 급변. ② 오차기준 ε=20%(N8≥14)로 통일 → 26µm도 R≤0.5에서 통과(자세한 근거는 '오차기준_근거' 시트). ③ void 판정 정확도(False OK/NG)는 8% 근처 void 샘플 확보 후 검증(2차 모델링). ④ R/F/W는 직경에 거의 무영향(kV가 지배) — 파라미터별 역할은 '파라미터_메커니즘' 시트.</t>
        </is>
      </c>
    </row>
    <row r="19"/>
    <row r="20"/>
    <row r="21"/>
  </sheetData>
  <mergeCells count="2">
    <mergeCell ref="A2:E2"/>
    <mergeCell ref="A18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4" customWidth="1" min="3" max="3"/>
    <col width="22" customWidth="1" min="4" max="4"/>
  </cols>
  <sheetData>
    <row r="1">
      <c r="A1" s="1" t="inlineStr">
        <is>
          <t>파라미터 메커니즘 — 자재 직경 D가 주어지면 각 값을 어떻게 정하나</t>
        </is>
      </c>
    </row>
    <row r="2">
      <c r="A2" s="3" t="inlineStr">
        <is>
          <t>파라미터</t>
        </is>
      </c>
      <c r="B2" s="3" t="inlineStr">
        <is>
          <t>무엇을 조절하나(물리)</t>
        </is>
      </c>
      <c r="C2" s="3" t="inlineStr">
        <is>
          <t>D가 주어지면 어떻게 정하나</t>
        </is>
      </c>
      <c r="D2" s="3" t="inlineStr">
        <is>
          <t>D 의존성</t>
        </is>
      </c>
    </row>
    <row r="3">
      <c r="A3" t="inlineStr">
        <is>
          <t>kV</t>
        </is>
      </c>
      <c r="B3" t="inlineStr">
        <is>
          <t>X-ray 투과/대비 → threshold가 범프 경계를 잡는 위치 → 측정직경</t>
        </is>
      </c>
      <c r="C3" t="inlineStr">
        <is>
          <t>측정직경=PD가 되는 정점(≈60)에 고정 후 1kV씩 트림. 직경의 '정확도'를 담당</t>
        </is>
      </c>
      <c r="D3" t="inlineStr">
        <is>
          <t>거의 무관(26·86µm 둘다 ~60)</t>
        </is>
      </c>
    </row>
    <row r="4">
      <c r="A4" t="inlineStr">
        <is>
          <t>R</t>
        </is>
      </c>
      <c r="B4" t="inlineStr">
        <is>
          <t>픽셀 크기 → 8% void가 몇 픽셀(N8)로 표현되나 → 픽셀화 오차(2/N8)</t>
        </is>
      </c>
      <c r="C4" t="inlineStr">
        <is>
          <t>N8≥게이트 되는 가장 거친(빠른) R = D·√0.08/N8. void의 '해상도'를 담당</t>
        </is>
      </c>
      <c r="D4" t="inlineStr">
        <is>
          <t>D에 비례(클수록 R↑ 가능)</t>
        </is>
      </c>
    </row>
    <row r="5">
      <c r="A5" t="inlineStr">
        <is>
          <t>F</t>
        </is>
      </c>
      <c r="B5" t="inlineStr">
        <is>
          <t>여러 장 평균 → 랜덤 광자노이즈 저감(∝1/√F). 측정직경·N8은 안 바뀜</t>
        </is>
      </c>
      <c r="C5" t="inlineStr">
        <is>
          <t>노이즈 σ가 예산 안에 들도록 최소 F(≥32). 측정 '재현성'을 담당</t>
        </is>
      </c>
      <c r="D5" t="inlineStr">
        <is>
          <t>무관(조건별 σ로 결정)</t>
        </is>
      </c>
    </row>
    <row r="6">
      <c r="A6" t="inlineStr">
        <is>
          <t>W</t>
        </is>
      </c>
      <c r="B6" t="inlineStr">
        <is>
          <t>X-ray 선속(밝기) → 광자부족 영역의 SNR. 시간은 안 늘어남</t>
        </is>
      </c>
      <c r="C6" t="inlineStr">
        <is>
          <t>얇은 범프는 4 고정(효과 미검출). 두꺼운 범프 내부가 어두울 때만 ↑</t>
        </is>
      </c>
      <c r="D6" t="inlineStr">
        <is>
          <t>두께 의존(현재 자재는 4)</t>
        </is>
      </c>
    </row>
    <row r="8">
      <c r="A8" t="inlineStr">
        <is>
          <t>핵심</t>
        </is>
      </c>
      <c r="B8" t="inlineStr">
        <is>
          <t>kV=정확도, R=해상도, F=재현성, W=밝기 — 서로 다른 오차원을 담당해 독립적으로 목표에 맞춘다.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오차 기준 ε = 20% (자재 무관 통일)</t>
        </is>
      </c>
    </row>
    <row r="2">
      <c r="A2" s="1" t="inlineStr">
        <is>
          <t>근거 이론</t>
        </is>
      </c>
      <c r="B2" s="2" t="inlineStr">
        <is>
          <t>게이지 R&amp;R(측정시스템분석, AIAG MSA / ISO 14253): 측정오차 ≤ 판정공차의 10%=우수, 10~30%=허용, &gt;30%=불가.</t>
        </is>
      </c>
    </row>
    <row r="3">
      <c r="A3" s="1" t="inlineStr">
        <is>
          <t>왜 20%</t>
        </is>
      </c>
      <c r="B3" s="2" t="inlineStr">
        <is>
          <t>8% void 판정선에 적용. 10%(우수)는 86µm만 통과하고 26·10µm은 구조적 탈락. 같은 이론의 '허용' 등급 범위(10~30%) 안에서 통일값 20%를 채택 → 자재 무관 동일 원칙.</t>
        </is>
      </c>
    </row>
    <row r="4">
      <c r="A4" s="1" t="inlineStr">
        <is>
          <t>총오차 구성</t>
        </is>
      </c>
      <c r="B4" s="2" t="inlineStr">
        <is>
          <t>총오차 = √(픽셀화² + 노이즈²). 픽셀화=2/N8(R로 결정, 계통), 노이즈=2σ(F/W로 결정, 랜덤).</t>
        </is>
      </c>
    </row>
    <row r="5">
      <c r="A5" s="1" t="inlineStr">
        <is>
          <t>N8 게이트 유도</t>
        </is>
      </c>
      <c r="B5" s="2" t="inlineStr">
        <is>
          <t>픽셀화·노이즈 균등분할 → 각 ≤ ε/√2 = 14.1%. 픽셀화 2/N8 ≤ 14.1% → N8 ≥ 2√2/ε = 14.</t>
        </is>
      </c>
    </row>
    <row r="6">
      <c r="A6" s="1" t="inlineStr">
        <is>
          <t>자재별 달성</t>
        </is>
      </c>
      <c r="B6" s="2" t="inlineStr">
        <is>
          <t>N8≥14 충족: 86µm(여유)·26µm(R≤0.5, N8≈14.7)·10µm(R≈0.2에서 N8≈14, 측정성공 시).</t>
        </is>
      </c>
    </row>
    <row r="7">
      <c r="A7" s="1" t="inlineStr">
        <is>
          <t>주의</t>
        </is>
      </c>
      <c r="B7" s="2" t="inlineStr">
        <is>
          <t>10µm은 실측 없음(외삽). 26µm도 R하한 0.35는 F32까지만 확인한 값 — F를 올리면 더 낮출 여지(R×F 미검증).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직경 모델 계수 (anchor별 ln_Q = b0 + b_kV·kV + b_kV2·kV² + b_R·R + b_F·F + b_W·W)</t>
        </is>
      </c>
    </row>
    <row r="2">
      <c r="A2" t="inlineStr">
        <is>
          <t>anchor</t>
        </is>
      </c>
      <c r="B2" t="inlineStr">
        <is>
          <t>PD</t>
        </is>
      </c>
      <c r="C2" t="inlineStr">
        <is>
          <t>b0</t>
        </is>
      </c>
      <c r="D2" t="inlineStr">
        <is>
          <t>b_kV</t>
        </is>
      </c>
      <c r="E2" t="inlineStr">
        <is>
          <t>b_kV2</t>
        </is>
      </c>
      <c r="F2" t="inlineStr">
        <is>
          <t>b_R</t>
        </is>
      </c>
      <c r="G2" t="inlineStr">
        <is>
          <t>b_F</t>
        </is>
      </c>
      <c r="H2" t="inlineStr">
        <is>
          <t>b_W</t>
        </is>
      </c>
      <c r="I2" t="inlineStr">
        <is>
          <t>kV*</t>
        </is>
      </c>
      <c r="J2" t="inlineStr">
        <is>
          <t>Q@kV*</t>
        </is>
      </c>
      <c r="K2" t="inlineStr">
        <is>
          <t>R²</t>
        </is>
      </c>
    </row>
    <row r="3">
      <c r="A3" t="inlineStr">
        <is>
          <t>D26</t>
        </is>
      </c>
      <c r="B3" t="n">
        <v>26</v>
      </c>
      <c r="C3" t="n">
        <v>-164.11132</v>
      </c>
      <c r="D3" t="n">
        <v>5.47255</v>
      </c>
      <c r="E3" t="n">
        <v>-0.045633</v>
      </c>
      <c r="F3" t="n">
        <v>0.05998</v>
      </c>
      <c r="G3" t="n">
        <v>0.00015</v>
      </c>
      <c r="H3" t="n">
        <v>-0.00561</v>
      </c>
      <c r="I3" t="n">
        <v>59.96</v>
      </c>
      <c r="J3" t="n">
        <v>0.9814000000000001</v>
      </c>
      <c r="K3" t="n">
        <v>0.9288999999999999</v>
      </c>
    </row>
    <row r="4">
      <c r="A4" t="inlineStr">
        <is>
          <t>D86</t>
        </is>
      </c>
      <c r="B4" t="n">
        <v>86</v>
      </c>
      <c r="C4" t="n">
        <v>-85.72158</v>
      </c>
      <c r="D4" t="n">
        <v>2.86364</v>
      </c>
      <c r="E4" t="n">
        <v>-0.023906</v>
      </c>
      <c r="F4" t="n">
        <v>-0.02711</v>
      </c>
      <c r="G4" t="n">
        <v>-5.9e-05</v>
      </c>
      <c r="H4" t="n">
        <v>-0.00193</v>
      </c>
      <c r="I4" t="n">
        <v>59.89</v>
      </c>
      <c r="J4" t="n">
        <v>1.0101</v>
      </c>
      <c r="K4" t="n">
        <v>0.9563</v>
      </c>
    </row>
    <row r="6">
      <c r="A6" t="inlineStr">
        <is>
          <t>kV*(D) 직선</t>
        </is>
      </c>
      <c r="B6" t="inlineStr">
        <is>
          <t>kV*(D) = 59.99 + -0.00117·D  (2 anchor 직선)</t>
        </is>
      </c>
    </row>
    <row r="7">
      <c r="A7" t="inlineStr">
        <is>
          <t>Tact 모델</t>
        </is>
      </c>
      <c r="B7" t="inlineStr">
        <is>
          <t>tact = 119.098 + 0.03907·bump + -0.01071·bump·(F/64), R²=0.3304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2026-07-11T07:43:40Z</dcterms:created>
  <dcterms:modified xmlns:dcterms="http://purl.org/dc/terms/" xmlns:xsi="http://www.w3.org/2001/XMLSchema-instance" xsi:type="dcterms:W3CDTF">2026-07-11T07:43:40Z</dcterms:modified>
</cp:coreProperties>
</file>