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추천값_설명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60" customWidth="1" min="4" max="4"/>
    <col width="6" customWidth="1" min="5" max="5"/>
  </cols>
  <sheetData>
    <row r="1">
      <c r="A1" s="1" t="inlineStr">
        <is>
          <t>X-ray 레시피 계산기</t>
        </is>
      </c>
    </row>
    <row r="2" ht="30" customHeight="1">
      <c r="A2" s="2" t="inlineStr">
        <is>
          <t>사용법: 노란칸(D, 검사 범프수)만 입력 → 아래 파란칸이 자동 계산됩니다. 각 값이 '왜 그렇게 나오는지'는 옆의 '추천값_설명' 시트에 처음 보는 사람 기준으로 풀어 놨습니다.</t>
        </is>
      </c>
    </row>
    <row r="4">
      <c r="A4" s="3" t="inlineStr">
        <is>
          <t>■ 입력 (노란칸)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  <c r="D5" s="2" t="inlineStr">
        <is>
          <t>제품 도면상 범프 지름(참값). 이거 하나로 kV·R이 정해짐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  <c r="D6" s="2" t="inlineStr">
        <is>
          <t>예상 검사시간(tact) 계산에만 쓰임</t>
        </is>
      </c>
    </row>
    <row r="8">
      <c r="A8" s="3" t="inlineStr">
        <is>
          <t>■ 추천값 (자동)</t>
        </is>
      </c>
    </row>
    <row r="9" ht="30" customHeight="1">
      <c r="A9" t="inlineStr">
        <is>
          <t>kV (전압)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측정직경이 실제 PD와 같아지는 '정점'(≈60, B3 실측 정점 59.9). ⚠ 창이 매우 좁음: B3에서 ±0.5kV(59.5·60.5)는 둘 다 게이트 탈락 → 실질 트림 ±0.3kV. 비대칭(높은 쪽 낙폭 2.6배) → 오차 시 살짝 낮게(kV↓) 치우치는 게 안전</t>
        </is>
      </c>
    </row>
    <row r="10">
      <c r="A10" t="inlineStr">
        <is>
          <t>└ 예측 정확도 Q_dia</t>
        </is>
      </c>
      <c r="B10" s="5">
        <f>ROUND(0.9814+(1.0101-0.9814)/(86-26)*(B5-26),3)</f>
        <v/>
      </c>
      <c r="C10" t="inlineStr">
        <is>
          <t>측정/PD</t>
        </is>
      </c>
      <c r="D10" s="2" t="inlineStr">
        <is>
          <t>위 kV에서 얻는 (측정직경÷PD). 1.00이 완벽, 0.97~1.03이면 합격. 26µm은 ~0.98이 한계</t>
        </is>
      </c>
    </row>
    <row r="11" ht="30" customHeight="1">
      <c r="A11" t="inlineStr">
        <is>
          <t>└ 예측 진원도 Roundness</t>
        </is>
      </c>
      <c r="B11" s="5">
        <f>ROUND((96.6493+0.01733*B5)/100,3)</f>
        <v/>
      </c>
      <c r="C11" t="inlineStr">
        <is>
          <t>0~1</t>
        </is>
      </c>
      <c r="D11" s="2" t="inlineStr">
        <is>
          <t>위 kV에서 얻는 진원도(1=완전 원형). kV도 진원도의 정점(26µm~59.4·86µm~60.5)이라 직경과 같은 kV60에서 함께 최적. 26µm~0.97·86µm~0.98. 큰 범프일수록 원형</t>
        </is>
      </c>
    </row>
    <row r="12" ht="30" customHeight="1">
      <c r="A12" t="inlineStr">
        <is>
          <t>R (해상도용 픽셀크기)</t>
        </is>
      </c>
      <c r="B12" s="5">
        <f>ROUND(B5*0.2828/14,2)</f>
        <v/>
      </c>
      <c r="C12" t="inlineStr">
        <is>
          <t>µm/px</t>
        </is>
      </c>
      <c r="D12" s="2" t="inlineStr">
        <is>
          <t>8% void를 겨우 볼 수 있는 '가장 큰(=가장 안전한) 픽셀'. 큰 R일수록 픽셀당 광자↑ → 측정 안정. 공식 R=D·√0.08/14. (진원도엔 R 영향 미미 ~1%p → 직경·void 기준으로 결정해도 무방)</t>
        </is>
      </c>
    </row>
    <row r="13" ht="30" customHeight="1">
      <c r="A13" t="inlineStr">
        <is>
          <t>└ 사용 가능 범위</t>
        </is>
      </c>
      <c r="B13" s="5">
        <f>"0.2 ~ "&amp;TEXT(B12,"0.00")</f>
        <v/>
      </c>
      <c r="C13" t="inlineStr">
        <is>
          <t>µm/px</t>
        </is>
      </c>
      <c r="D13" s="2" t="inlineStr">
        <is>
          <t>이보다 크면 void를 못 봄(해상도 부족). 이보다 작으면(→0.2) 픽셀이 광자를 굶어 측정 실패(26µm R0.2~0.25 실측 실패). 8%보다 작은 void를 잡을 때만 R을 낮추고, 그땐 F·W로 광자 보충 필요</t>
        </is>
      </c>
    </row>
    <row r="14" ht="30" customHeight="1">
      <c r="A14" t="inlineStr">
        <is>
          <t>F (프레임 수)</t>
        </is>
      </c>
      <c r="B14" s="5" t="n">
        <v>32</v>
      </c>
      <c r="C14" t="inlineStr">
        <is>
          <t>장(최소)</t>
        </is>
      </c>
      <c r="D14" s="2" t="inlineStr">
        <is>
          <t>여러 장 평균 → 랜덤 노이즈 저감용. 지금 노이즈가 이미 극히 작아(σ≈0.15%) 최소값. 직경엔 영향 없음(편차 0.28%p), 진원도에도 영향 미미</t>
        </is>
      </c>
    </row>
    <row r="15" ht="30" customHeight="1">
      <c r="A15" t="inlineStr">
        <is>
          <t>W (선속=밝기)</t>
        </is>
      </c>
      <c r="B15" s="5" t="n">
        <v>4</v>
      </c>
      <c r="C15" t="inlineStr">
        <is>
          <t>(최소)</t>
        </is>
      </c>
      <c r="D15" s="2" t="inlineStr">
        <is>
          <t>범프 내부가 어두울 때 밝혀주는 값. 현재 자재(26·86µm)는 얇아서 효과 없음(직경·진원도 둘 다 무영향) → 최소값. 두꺼운 자재 오면 재검토</t>
        </is>
      </c>
    </row>
    <row r="16">
      <c r="A16" t="inlineStr">
        <is>
          <t>예상 Tact (검사시간)</t>
        </is>
      </c>
      <c r="B16" s="5">
        <f>ROUND(119.098+(0.03907+-0.01071*B14/64)*B6,0)</f>
        <v/>
      </c>
      <c r="C16" t="inlineStr">
        <is>
          <t>초</t>
        </is>
      </c>
      <c r="D16" s="2" t="inlineStr">
        <is>
          <t>대략치. 범프 수·F로 추정(예비 모델이라 오차 큼)</t>
        </is>
      </c>
    </row>
    <row r="18">
      <c r="A18" s="6" t="inlineStr">
        <is>
          <t>■ 직경+진원도 통합 결론</t>
        </is>
      </c>
    </row>
    <row r="19">
      <c r="A19" s="2" t="inlineStr">
        <is>
          <t>직경과 진원도는 둘 다 kV 정점(≈60)에서 최고 → 충돌 없이 kV60 하나로 동시 최적화됨. R·F·W는 직경에도 진원도에도 영향이 미미(≤~1%p)해, R은 void 해상도(N8 상한)로·F·W는 최소로 정하면 됨. → 통합 최적 레시피 = kV60(정밀) · R=공식 · F32 · W4. 진원도는 자재가 클수록 좋아지고, kV가 정점을 벗어나면(특히 26µm·고kV) 나빠짐. 자세한 근거는 '추천값_설명' 시트.</t>
        </is>
      </c>
    </row>
    <row r="20"/>
    <row r="21"/>
    <row r="22"/>
  </sheetData>
  <mergeCells count="2">
    <mergeCell ref="A2:E2"/>
    <mergeCell ref="A19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30" customWidth="1" min="3" max="3"/>
    <col width="40" customWidth="1" min="4" max="4"/>
    <col width="48" customWidth="1" min="5" max="5"/>
  </cols>
  <sheetData>
    <row r="1">
      <c r="A1" s="7" t="inlineStr">
        <is>
          <t>각 추천값을 어떻게 정했나 — 처음 보는 사람용 설명</t>
        </is>
      </c>
    </row>
    <row r="2" ht="30" customHeight="1">
      <c r="A2" s="2" t="inlineStr">
        <is>
          <t>이 모델은 '자재 직경(D)을 넣으면 범프 직경을 정확히 재는 레시피'를 뽑아줍니다. 네 파라미터(kV·R·F·W)는 서로 다른 일을 담당하고, 아래처럼 각자 다른 방식으로 정해집니다.</t>
        </is>
      </c>
    </row>
    <row r="4">
      <c r="A4" s="3" t="inlineStr">
        <is>
          <t>파라미터</t>
        </is>
      </c>
      <c r="B4" s="3" t="inlineStr">
        <is>
          <t>이게 뭔가</t>
        </is>
      </c>
      <c r="C4" s="3" t="inlineStr">
        <is>
          <t>무엇을 좋게 하나(담당)</t>
        </is>
      </c>
      <c r="D4" s="3" t="inlineStr">
        <is>
          <t>추천값을 어떻게 정하나</t>
        </is>
      </c>
      <c r="E4" s="3" t="inlineStr">
        <is>
          <t>실측 근거 / 주의</t>
        </is>
      </c>
    </row>
    <row r="5" ht="78" customHeight="1">
      <c r="A5" s="2" t="inlineStr">
        <is>
          <t>kV
(전압)</t>
        </is>
      </c>
      <c r="B5" s="2" t="inlineStr">
        <is>
          <t>X선 전압. 높을수록 투과가 세짐 → 범프 경계를 잡는 위치가 달라져 '측정 직경'이 바뀜.</t>
        </is>
      </c>
      <c r="C5" s="2" t="inlineStr">
        <is>
          <t>직경 정확도 — 측정직경이 실제 PD와 맞는가. (네 파라미터 중 직경을 바꾸는 건 kV뿐)</t>
        </is>
      </c>
      <c r="D5" s="2" t="inlineStr">
        <is>
          <t>kV를 올리면 측정직경이 커졌다 작아지는 '포물선'. 그 꼭지점(측정직경=PD)이 추천값. 두 자재 다 ≈60이라 D와 거의 무관.</t>
        </is>
      </c>
      <c r="E5" s="2" t="inlineStr">
        <is>
          <t>⚠ 가장 중요: 봉우리가 날카롭고 비대칭. B3 실측상 정점 60에서 ±0.5kV(59.5·60.5)면 이미 게이트 탈락, 특히 +0.5kV는 7.8%p 급락(−0.5kV의 2.6배). → 실질 트림 ±0.3kV, 오차 시 살짝 낮게(kV↓) 치우치는 게 안전. 정점 정밀 세팅·kV 드리프트 관리가 직경 정확도의 최대 리스크.</t>
        </is>
      </c>
    </row>
    <row r="6" ht="78" customHeight="1">
      <c r="A6" s="2" t="inlineStr">
        <is>
          <t>R
(픽셀 크기)</t>
        </is>
      </c>
      <c r="B6" s="2" t="inlineStr">
        <is>
          <t>이미지 한 픽셀이 실제 몇 µm인가(µm/px). 작을수록 이미지가 곱다(고해상도).</t>
        </is>
      </c>
      <c r="C6" s="2" t="inlineStr">
        <is>
          <t>① void 해상도 — 8% void를 몇 픽셀로 그리나(N8). ② 광자 신뢰도 — 픽셀이 클수록 광자를 많이 모아 측정이 안정.</t>
        </is>
      </c>
      <c r="D6" s="2" t="inlineStr">
        <is>
          <t>8% void를 겨우 볼 최소 해상도(N8=14)에 해당하는 '가장 큰 R'을 추천. 공식 R=D·√0.08/14. 큰 R=광자 많음=가장 안전한데 void도 볼 수 있는 지점.</t>
        </is>
      </c>
      <c r="E6" s="2" t="inlineStr">
        <is>
          <t>왜 더 작게(0.2) 안 쓰나: 픽셀이 잘면 광자를 굶어 측정이 깨짐(26µm R0.2~0.25 실측 실패, R0.35부터 성공). 8%보다 작은 void를 잡을 때만 R을 낮추고, 그땐 F·W로 광자 보충 필요.</t>
        </is>
      </c>
    </row>
    <row r="7" ht="78" customHeight="1">
      <c r="A7" s="2" t="inlineStr">
        <is>
          <t>F
(프레임 수)</t>
        </is>
      </c>
      <c r="B7" s="2" t="inlineStr">
        <is>
          <t>같은 자리를 여러 장 찍어 평균냄. 많을수록 랜덤 노이즈가 줄어듦(∝1/√F). 대신 시간↑.</t>
        </is>
      </c>
      <c r="C7" s="2" t="inlineStr">
        <is>
          <t>재현성 — 측정값의 랜덤 흔들림(노이즈 σ)을 줄임. 직경 평균값·해상도(N8)는 안 바꿈.</t>
        </is>
      </c>
      <c r="D7" s="2" t="inlineStr">
        <is>
          <t>최소값(32). 이유: 지금 노이즈가 이미 극히 작아(운영점 σ≈0.15%, 허용 예산 14%의 1/100) 더 평균낼 실익이 없음 → 비용(시간)만 늘어 최소.</t>
        </is>
      </c>
      <c r="E7" s="2" t="inlineStr">
        <is>
          <t>F32/64/128 실측 → 직경 편차 0.28%p(무영향). 다만 σ(F) 곡선을 직접 잰 건 아님 → 'F=32면 충분'을 못박으려면 σ 반복실험이 남음(값은 안 바뀔 전망).</t>
        </is>
      </c>
    </row>
    <row r="8" ht="78" customHeight="1">
      <c r="A8" s="2" t="inlineStr">
        <is>
          <t>W
(선속=밝기)</t>
        </is>
      </c>
      <c r="B8" s="2" t="inlineStr">
        <is>
          <t>X선 파워(밝기). 높이면 어두운 영역이 밝아짐. 시간은 안 늘어남.</t>
        </is>
      </c>
      <c r="C8" s="2" t="inlineStr">
        <is>
          <t>밝기 — 범프 내부가 어두워(광자부족) 잘 안 보일 때 SNR을 살림.</t>
        </is>
      </c>
      <c r="D8" s="2" t="inlineStr">
        <is>
          <t>최소값(4). 이유: 현재 자재(26·86µm)는 얇아서 내부가 안 어두움 → W를 올려도 효과가 없음. 그래서 최소.</t>
        </is>
      </c>
      <c r="E8" s="2" t="inlineStr">
        <is>
          <t>W4 vs W6 실측 → 직경 편차 0.03%p(무영향). 86µm(제일 두꺼움)에서도 효과 없음 → 이 자재들엔 4가 확정 최적. 더 두껍거나 치밀한 자재가 오면 그때만 재검토.</t>
        </is>
      </c>
    </row>
    <row r="10" ht="78" customHeight="1">
      <c r="A10" s="1" t="inlineStr">
        <is>
          <t>[결과 지표] 진원도
(Roundness)</t>
        </is>
      </c>
      <c r="B10" s="2" t="inlineStr">
        <is>
          <t>측정된 범프가 얼마나 원(circle)에 가까운가(%, 100=완전 원형). 파라미터가 아니라 레시피의 '품질 결과'.</t>
        </is>
      </c>
      <c r="C10" s="2" t="inlineStr">
        <is>
          <t>품질 지표 — 범프 형상 정상 여부. 직경과 함께 검사 신뢰도를 봄.</t>
        </is>
      </c>
      <c r="D10" s="2" t="inlineStr">
        <is>
          <t>별도로 정할 게 아니라 kV·R·F·W가 정해지면 따라 나옴. kV 정점(26µm~59·86µm~61)에서 최고 → 직경과 같은 kV60에서 동시 최적.</t>
        </is>
      </c>
      <c r="E10" s="2" t="inlineStr">
        <is>
          <t>실측: 정점에서 26µm~97%·86µm~98%. 큰 범프일수록 원형. kV가 정점 벗어나면(특히 26µm·고kV62) 하락(최저 91%). R·F·W 효과는 ~1%p로 미미.</t>
        </is>
      </c>
    </row>
    <row r="12" ht="44" customHeight="1">
      <c r="A12" s="1" t="inlineStr">
        <is>
          <t>통합 결론</t>
        </is>
      </c>
      <c r="B12" s="2" t="inlineStr">
        <is>
          <t>kV=정확도+진원도(둘 다 정점 60) / R=해상도+광자안전(진원도 영향 미미) / F=재현성(이미 충분) / W=밝기(자재 얇아 불필요). → 직경과 진원도가 같은 kV60을 요구해 충돌이 없고, 통합 최적 레시피는 kV60·R(공식)·F32·W4로 하나로 정해집니다.</t>
        </is>
      </c>
    </row>
  </sheetData>
  <mergeCells count="3">
    <mergeCell ref="A2:F2"/>
    <mergeCell ref="B12:E1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86" customWidth="1" min="2" max="2"/>
  </cols>
  <sheetData>
    <row r="1">
      <c r="A1" s="1" t="inlineStr">
        <is>
          <t>오차 기준 ε = 20% 은 어디서 왔나</t>
        </is>
      </c>
    </row>
    <row r="2">
      <c r="A2" s="1" t="inlineStr">
        <is>
          <t>한 줄 요약</t>
        </is>
      </c>
      <c r="B2" s="2" t="inlineStr">
        <is>
          <t>'측정 오차를 판정 기준의 20% 안으로 넣자'는 목표. 이 목표가 R의 상한(N8≥14)을 정함.</t>
        </is>
      </c>
    </row>
    <row r="3">
      <c r="A3" s="1" t="inlineStr">
        <is>
          <t>근거 이론</t>
        </is>
      </c>
      <c r="B3" s="2" t="inlineStr">
        <is>
          <t>게이지 R&amp;R(측정시스템분석, AIAG MSA / ISO 14253): 측정오차 ≤ 판정공차의 10%=우수, 10~30%=허용, &gt;30%=불가.</t>
        </is>
      </c>
    </row>
    <row r="4">
      <c r="A4" s="1" t="inlineStr">
        <is>
          <t>왜 20%</t>
        </is>
      </c>
      <c r="B4" s="2" t="inlineStr">
        <is>
          <t>10%(우수)로 잡으면 86µm만 통과하고 작은 자재(26µm)는 구조적으로 탈락. 그래서 같은 이론의 '허용' 등급(10~30%) 안에서 자재 무관 통일값 20%를 채택.</t>
        </is>
      </c>
    </row>
    <row r="5">
      <c r="A5" s="1" t="inlineStr">
        <is>
          <t>총오차 구성</t>
        </is>
      </c>
      <c r="B5" s="2" t="inlineStr">
        <is>
          <t>총오차 = √(픽셀화오차² + 노이즈오차²). 픽셀화=2/N8(R이 결정, 계통오차), 노이즈=2σ(F·W가 결정, 랜덤오차).</t>
        </is>
      </c>
    </row>
    <row r="6">
      <c r="A6" s="1" t="inlineStr">
        <is>
          <t>N8 상한 유도</t>
        </is>
      </c>
      <c r="B6" s="2" t="inlineStr">
        <is>
          <t>두 오차를 반반씩 나누면 각 ≤ ε/√2 = 14.1%. 픽셀화 2/N8 ≤ 14.1% → N8 ≥ 2√2/ε = 14. 이게 R 상한 공식의 뿌리.</t>
        </is>
      </c>
    </row>
    <row r="7">
      <c r="A7" s="1" t="inlineStr">
        <is>
          <t>남은 한계</t>
        </is>
      </c>
      <c r="B7" s="2" t="inlineStr">
        <is>
          <t>10µm 같은 더 작은 자재는 실측 없이 외삽. void 검출 정확도(진짜 void를 놓치는가)는 void 샘플이 있어야만 검증 가능 → 미검증.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8">
      <c r="A8" t="inlineStr">
        <is>
          <t>진원도 모델 계수 (roundness% = b0 + b_kV·kV + b_kV2·kV² + b_R·R + b_F·F + b_W·W)</t>
        </is>
      </c>
    </row>
    <row r="9">
      <c r="A9" t="inlineStr">
        <is>
          <t>anchor</t>
        </is>
      </c>
      <c r="B9" t="inlineStr">
        <is>
          <t>PD</t>
        </is>
      </c>
      <c r="C9" t="inlineStr">
        <is>
          <t>b0</t>
        </is>
      </c>
      <c r="D9" t="inlineStr">
        <is>
          <t>b_kV</t>
        </is>
      </c>
      <c r="E9" t="inlineStr">
        <is>
          <t>b_kV2</t>
        </is>
      </c>
      <c r="F9" t="inlineStr">
        <is>
          <t>b_R</t>
        </is>
      </c>
      <c r="G9" t="inlineStr">
        <is>
          <t>b_F</t>
        </is>
      </c>
      <c r="H9" t="inlineStr">
        <is>
          <t>b_W</t>
        </is>
      </c>
      <c r="I9" t="inlineStr">
        <is>
          <t>정점kV</t>
        </is>
      </c>
      <c r="J9" t="inlineStr">
        <is>
          <t>Rnd%@정점</t>
        </is>
      </c>
      <c r="K9" t="inlineStr">
        <is>
          <t>R²</t>
        </is>
      </c>
    </row>
    <row r="10">
      <c r="A10" t="inlineStr">
        <is>
          <t>D26</t>
        </is>
      </c>
      <c r="B10" t="n">
        <v>26</v>
      </c>
      <c r="C10" t="n">
        <v>-1516.623</v>
      </c>
      <c r="D10" t="n">
        <v>54.4035</v>
      </c>
      <c r="E10" t="n">
        <v>-0.45802</v>
      </c>
      <c r="F10" t="n">
        <v>-4.7202</v>
      </c>
      <c r="G10" t="n">
        <v>0.001042</v>
      </c>
      <c r="H10" t="n">
        <v>0.12329</v>
      </c>
      <c r="I10" t="n">
        <v>59.39</v>
      </c>
      <c r="J10" t="n">
        <v>97.09999999999999</v>
      </c>
      <c r="K10" t="n">
        <v>0.7569</v>
      </c>
    </row>
    <row r="11">
      <c r="A11" t="inlineStr">
        <is>
          <t>D86</t>
        </is>
      </c>
      <c r="B11" t="n">
        <v>86</v>
      </c>
      <c r="C11" t="n">
        <v>426.5</v>
      </c>
      <c r="D11" t="n">
        <v>-10.8615</v>
      </c>
      <c r="E11" t="n">
        <v>0.0897</v>
      </c>
      <c r="F11" t="n">
        <v>0.4674</v>
      </c>
      <c r="G11" t="n">
        <v>0.000724</v>
      </c>
      <c r="H11" t="n">
        <v>0.04118</v>
      </c>
      <c r="I11" t="n">
        <v>60.55</v>
      </c>
      <c r="J11" t="n">
        <v>98.14</v>
      </c>
      <c r="K11" t="n">
        <v>0.6885</v>
      </c>
    </row>
    <row r="13">
      <c r="A13" t="inlineStr">
        <is>
          <t>Tact 모델</t>
        </is>
      </c>
      <c r="B13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2026-07-22T10:14:52Z</dcterms:created>
  <dcterms:modified xmlns:dcterms="http://purl.org/dc/terms/" xmlns:xsi="http://www.w3.org/2001/XMLSchema-instance" xsi:type="dcterms:W3CDTF">2026-07-22T10:14:52Z</dcterms:modified>
</cp:coreProperties>
</file>