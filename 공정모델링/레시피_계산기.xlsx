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파라미터_메커니즘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0" customWidth="1" min="3" max="3"/>
    <col width="52" customWidth="1" min="4" max="4"/>
    <col width="6" customWidth="1" min="5" max="5"/>
  </cols>
  <sheetData>
    <row r="1">
      <c r="A1" s="1" t="inlineStr">
        <is>
          <t>X-ray 레시피 계산기 (DOE 38런 회귀 기반)</t>
        </is>
      </c>
    </row>
    <row r="2">
      <c r="A2" s="2" t="inlineStr">
        <is>
          <t>노란칸=입력. PD 직경만 넣으면 kV/R/F/W 추천이 나옵니다. 계수는 pipeline.py가 산출.</t>
        </is>
      </c>
    </row>
    <row r="4">
      <c r="A4" s="3" t="inlineStr">
        <is>
          <t>■ 입력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</row>
    <row r="8">
      <c r="A8" s="3" t="inlineStr">
        <is>
          <t>■ 추천 (자동)</t>
        </is>
      </c>
    </row>
    <row r="9">
      <c r="A9" t="inlineStr">
        <is>
          <t>kV* (추천 시작 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kV–직경 정점(2 anchor 직선 보간). ⚠ 창이 좁음: PhaseB 실측상 kV+1이면 이미 ~20% 언더사이즈 → 트림은 ±0.5kV 이내로만, 정점 정밀 맞춤 필수</t>
        </is>
      </c>
    </row>
    <row r="10">
      <c r="A10" t="inlineStr">
        <is>
          <t>예측 Q_dia @ kV*</t>
        </is>
      </c>
      <c r="B10" s="5">
        <f>ROUND(0.9814+(1.0101-0.9814)/(86-26)*(B5-26),3)</f>
        <v/>
      </c>
      <c r="C10" t="inlineStr">
        <is>
          <t>-</t>
        </is>
      </c>
      <c r="D10" s="2" t="inlineStr">
        <is>
          <t>정점에서 얻는 최대 Q(≈1). 26µm은 ~0.98가 한계</t>
        </is>
      </c>
    </row>
    <row r="11" ht="30" customHeight="1">
      <c r="A11" t="inlineStr">
        <is>
          <t>R 상한 (이론, N8≥14 공식)</t>
        </is>
      </c>
      <c r="B11" s="5">
        <f>ROUND(B5*0.2828/14,2)</f>
        <v/>
      </c>
      <c r="C11" t="inlineStr">
        <is>
          <t>µm/px</t>
        </is>
      </c>
      <c r="D11" s="2" t="inlineStr">
        <is>
          <t>N8 게이트 공식값. F가 N8에 영향 없다는 가정(additive 회귀) 하의 이론 상한</t>
        </is>
      </c>
    </row>
    <row r="12" ht="30" customHeight="1">
      <c r="A12" t="inlineStr">
        <is>
          <t>R 실측 확인 상한 (F=32·정점kV)</t>
        </is>
      </c>
      <c r="B12" s="5">
        <f>ROUND(0.5+(0.8-0.5)/(86-26)*(B5-26),2)</f>
        <v/>
      </c>
      <c r="C12" t="inlineStr">
        <is>
          <t>µm/px</t>
        </is>
      </c>
      <c r="D12" s="2" t="inlineStr">
        <is>
          <t>F=32·정점kV 조합에서 실제로 두 게이트를 통과한 값(26µm=0.5, 86µm=0.8, 2anchor 보간). 이 값을 넘는 R은 F=32에서 미검증(Phase B1 대상)</t>
        </is>
      </c>
    </row>
    <row r="13">
      <c r="A13" t="inlineStr">
        <is>
          <t>R 권장 범위 (하한~상한)</t>
        </is>
      </c>
      <c r="B13" s="5">
        <f>"0.2(장비 하한) ~ "&amp;TEXT(MIN(B11,B12),"0.00")&amp;" µm/px"</f>
        <v/>
      </c>
      <c r="C13" t="inlineStr"/>
      <c r="D13" s="2" t="inlineStr">
        <is>
          <t>권장 상한 = 이론·실측확인 중 더 보수적인 값(=MIN). 하한 0.2는 장비 물리 하한(광자부족 위험 구간)</t>
        </is>
      </c>
    </row>
    <row r="14">
      <c r="A14" t="inlineStr">
        <is>
          <t>R 추천 ① 기본 (속도 우선)</t>
        </is>
      </c>
      <c r="B14" s="5">
        <f>MIN(B11,B12)</f>
        <v/>
      </c>
      <c r="C14" t="inlineStr">
        <is>
          <t>µm/px</t>
        </is>
      </c>
      <c r="D14" s="2" t="inlineStr">
        <is>
          <t>N8 게이트(≥14)를 통과하는 가장 거친(빠른) R. 해상도 여유를 최소로 씀 = 기본값. 26µm→0.5(N8≈14.5), 86µm→0.8(N8≈30)</t>
        </is>
      </c>
    </row>
    <row r="15" ht="30" customHeight="1">
      <c r="A15" t="inlineStr">
        <is>
          <t>R 추천 ② 대안 (void 해상도 우선)</t>
        </is>
      </c>
      <c r="B15" s="6">
        <f>MIN(B14,ROUND(0.35+(0.5-0.35)/(86-26)*(B5-26),2))</f>
        <v/>
      </c>
      <c r="C15" t="inlineStr">
        <is>
          <t>µm/px</t>
        </is>
      </c>
      <c r="D15" s="2" t="inlineStr">
        <is>
          <t>각 자재에서 실측 확인된 가장 고운(낮은) R → void 해상도(N8) 여유 최대. 26µm→0.35(RF1: Q0.9945·N8 20.9·거짓NG0%), 86µm→0.5(D86-06: Q0.998·N8 48.5). 더 낮추면 미검증. 그만큼 느려짐</t>
        </is>
      </c>
    </row>
    <row r="16" ht="30" customHeight="1">
      <c r="A16" t="inlineStr">
        <is>
          <t>F 범위 (테스트 확인)</t>
        </is>
      </c>
      <c r="B16" s="5" t="inlineStr">
        <is>
          <t>32 ~ 128</t>
        </is>
      </c>
      <c r="C16" t="inlineStr">
        <is>
          <t>장비 배율</t>
        </is>
      </c>
      <c r="D16" s="2" t="inlineStr">
        <is>
          <t>실측 테스트 구간(kV60·R0.5): F[32.0, 64.0, 128.0] → 평균 Q_dia=[0.9791, 0.9792, 0.9819](편차 0.28%p) → 전 구간 직경 무영향</t>
        </is>
      </c>
    </row>
    <row r="17">
      <c r="A17" t="inlineStr">
        <is>
          <t>F 추천</t>
        </is>
      </c>
      <c r="B17" s="5" t="n">
        <v>32</v>
      </c>
      <c r="C17" t="inlineStr">
        <is>
          <t>장비 최소</t>
        </is>
      </c>
      <c r="D17" s="2" t="inlineStr">
        <is>
          <t>직경 무영향 확인 구간의 최소값 사용 → tact만 아끼는 선택. void σ 예산(2차 모델링)이 정해지면 상향될 수 있음</t>
        </is>
      </c>
    </row>
    <row r="18" ht="30" customHeight="1">
      <c r="A18" t="inlineStr">
        <is>
          <t>W 범위 (테스트 확인)</t>
        </is>
      </c>
      <c r="B18" s="5" t="inlineStr">
        <is>
          <t>4 ~ 6</t>
        </is>
      </c>
      <c r="C18" t="inlineStr"/>
      <c r="D18" s="2" t="inlineStr">
        <is>
          <t>실측 테스트 구간(동일 조건): W[4.0, 6.0] → 평균 Q_dia=[0.9799, 0.9802](편차 0.03%p) → 전 구간 직경 무영향</t>
        </is>
      </c>
    </row>
    <row r="19">
      <c r="A19" t="inlineStr">
        <is>
          <t>W 추천</t>
        </is>
      </c>
      <c r="B19" s="5" t="n">
        <v>4</v>
      </c>
      <c r="D19" s="2" t="inlineStr">
        <is>
          <t>직경 무영향 확인 구간의 기본값(최소) 사용. 두꺼운 자재 도입 시(SNR 부족) 재검토 필요</t>
        </is>
      </c>
    </row>
    <row r="20">
      <c r="A20" t="inlineStr">
        <is>
          <t>예상 Tact (s, 근사)</t>
        </is>
      </c>
      <c r="B20" s="5">
        <f>ROUND(119.098+(0.03907+-0.01071*B17/64)*B6,0)</f>
        <v/>
      </c>
      <c r="C20" t="inlineStr">
        <is>
          <t>초</t>
        </is>
      </c>
      <c r="D20" s="2" t="inlineStr">
        <is>
          <t>tact≈b0+(계수)·bump수. 검사 범프수·F로 추정</t>
        </is>
      </c>
    </row>
    <row r="22">
      <c r="A22" s="7" t="inlineStr">
        <is>
          <t>■ 주의 (실측 기반)</t>
        </is>
      </c>
    </row>
    <row r="23">
      <c r="A23" s="2" t="inlineStr">
        <is>
          <t>① kV–직경은 포물선 → kV는 정점(≈60)에 고정, 트림은 ±0.5kV 이내(kV+1이면 이미 ~20% 언더 — PhaseB). ② 오차기준 ε=20%(N8≥14)로 통일 → 26µm도 R≤0.5에서 통과(자세한 근거는 '오차기준_근거' 시트). ③ R 추천은 두 값: ①기본(속도, N8 게이트 턱걸이) ②대안(void 해상도 여유, 더 고움). 둘 다 게이트 통과 — 목적에 따라 선택. ④ void 판정 정확도(False OK/NG)는 8% 근처 void 샘플 확보 후 검증(2차 모델링). ⑤ F/W는 직경 무영향 확인 구간 내 최소값을 권장(비용 최소화) — R처럼 상/하한이 있는 게 아니라 '무관하니 최소'가 근거.</t>
        </is>
      </c>
    </row>
    <row r="24"/>
    <row r="25"/>
    <row r="26"/>
    <row r="27"/>
  </sheetData>
  <mergeCells count="2">
    <mergeCell ref="A2:E2"/>
    <mergeCell ref="A23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44" customWidth="1" min="3" max="3"/>
    <col width="22" customWidth="1" min="4" max="4"/>
  </cols>
  <sheetData>
    <row r="1">
      <c r="A1" s="1" t="inlineStr">
        <is>
          <t>파라미터 메커니즘 — 자재 직경 D가 주어지면 각 값을 어떻게 정하나</t>
        </is>
      </c>
    </row>
    <row r="2">
      <c r="A2" s="3" t="inlineStr">
        <is>
          <t>파라미터</t>
        </is>
      </c>
      <c r="B2" s="3" t="inlineStr">
        <is>
          <t>무엇을 조절하나(물리)</t>
        </is>
      </c>
      <c r="C2" s="3" t="inlineStr">
        <is>
          <t>D가 주어지면 어떻게 정하나</t>
        </is>
      </c>
      <c r="D2" s="3" t="inlineStr">
        <is>
          <t>D 의존성</t>
        </is>
      </c>
    </row>
    <row r="3">
      <c r="A3" t="inlineStr">
        <is>
          <t>kV</t>
        </is>
      </c>
      <c r="B3" t="inlineStr">
        <is>
          <t>X-ray 투과/대비 → threshold가 범프 경계를 잡는 위치 → 측정직경</t>
        </is>
      </c>
      <c r="C3" t="inlineStr">
        <is>
          <t>측정직경=PD가 되는 정점(≈60)에 고정 후 1kV씩 트림. 직경의 '정확도'를 담당</t>
        </is>
      </c>
      <c r="D3" t="inlineStr">
        <is>
          <t>거의 무관(26·86µm 둘다 ~60)</t>
        </is>
      </c>
    </row>
    <row r="4">
      <c r="A4" t="inlineStr">
        <is>
          <t>R</t>
        </is>
      </c>
      <c r="B4" t="inlineStr">
        <is>
          <t>픽셀 크기 → 8% void가 몇 픽셀(N8)로 표현되나 → 픽셀화 오차(2/N8)</t>
        </is>
      </c>
      <c r="C4" t="inlineStr">
        <is>
          <t>N8≥게이트 되는 가장 거친(빠른) R = D·√0.08/N8. void의 '해상도'를 담당</t>
        </is>
      </c>
      <c r="D4" t="inlineStr">
        <is>
          <t>D에 비례(클수록 R↑ 가능)</t>
        </is>
      </c>
    </row>
    <row r="5">
      <c r="A5" t="inlineStr">
        <is>
          <t>F</t>
        </is>
      </c>
      <c r="B5" t="inlineStr">
        <is>
          <t>여러 장 평균 → 랜덤 광자노이즈 저감(∝1/√F). 측정직경·N8은 안 바뀜</t>
        </is>
      </c>
      <c r="C5" t="inlineStr">
        <is>
          <t>노이즈 σ가 예산 안에 들도록 최소 F(≥32). 측정 '재현성'을 담당</t>
        </is>
      </c>
      <c r="D5" t="inlineStr">
        <is>
          <t>무관(조건별 σ로 결정)</t>
        </is>
      </c>
    </row>
    <row r="6">
      <c r="A6" t="inlineStr">
        <is>
          <t>W</t>
        </is>
      </c>
      <c r="B6" t="inlineStr">
        <is>
          <t>X-ray 선속(밝기) → 광자부족 영역의 SNR. 시간은 안 늘어남</t>
        </is>
      </c>
      <c r="C6" t="inlineStr">
        <is>
          <t>얇은 범프는 4 고정(효과 미검출). 두꺼운 범프 내부가 어두울 때만 ↑</t>
        </is>
      </c>
      <c r="D6" t="inlineStr">
        <is>
          <t>두께 의존(현재 자재는 4)</t>
        </is>
      </c>
    </row>
    <row r="8">
      <c r="A8" t="inlineStr">
        <is>
          <t>핵심</t>
        </is>
      </c>
      <c r="B8" t="inlineStr">
        <is>
          <t>kV=정확도, R=해상도, F=재현성, W=밝기 — 서로 다른 오차원을 담당해 독립적으로 목표에 맞춘다.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1" t="inlineStr">
        <is>
          <t>오차 기준 ε = 20% (자재 무관 통일)</t>
        </is>
      </c>
    </row>
    <row r="2">
      <c r="A2" s="1" t="inlineStr">
        <is>
          <t>근거 이론</t>
        </is>
      </c>
      <c r="B2" s="2" t="inlineStr">
        <is>
          <t>게이지 R&amp;R(측정시스템분석, AIAG MSA / ISO 14253): 측정오차 ≤ 판정공차의 10%=우수, 10~30%=허용, &gt;30%=불가.</t>
        </is>
      </c>
    </row>
    <row r="3">
      <c r="A3" s="1" t="inlineStr">
        <is>
          <t>왜 20%</t>
        </is>
      </c>
      <c r="B3" s="2" t="inlineStr">
        <is>
          <t>8% void 판정선에 적용. 10%(우수)는 86µm만 통과하고 26·10µm은 구조적 탈락. 같은 이론의 '허용' 등급 범위(10~30%) 안에서 통일값 20%를 채택 → 자재 무관 동일 원칙.</t>
        </is>
      </c>
    </row>
    <row r="4">
      <c r="A4" s="1" t="inlineStr">
        <is>
          <t>총오차 구성</t>
        </is>
      </c>
      <c r="B4" s="2" t="inlineStr">
        <is>
          <t>총오차 = √(픽셀화² + 노이즈²). 픽셀화=2/N8(R로 결정, 계통), 노이즈=2σ(F/W로 결정, 랜덤).</t>
        </is>
      </c>
    </row>
    <row r="5">
      <c r="A5" s="1" t="inlineStr">
        <is>
          <t>N8 게이트 유도</t>
        </is>
      </c>
      <c r="B5" s="2" t="inlineStr">
        <is>
          <t>픽셀화·노이즈 균등분할 → 각 ≤ ε/√2 = 14.1%. 픽셀화 2/N8 ≤ 14.1% → N8 ≥ 2√2/ε = 14.</t>
        </is>
      </c>
    </row>
    <row r="6">
      <c r="A6" s="1" t="inlineStr">
        <is>
          <t>자재별 달성</t>
        </is>
      </c>
      <c r="B6" s="2" t="inlineStr">
        <is>
          <t>N8≥14 충족: 86µm(여유)·26µm(R≤0.5, N8≈14.7)·10µm(R≈0.2에서 N8≈14, 측정성공 시).</t>
        </is>
      </c>
    </row>
    <row r="7">
      <c r="A7" s="1" t="inlineStr">
        <is>
          <t>주의</t>
        </is>
      </c>
      <c r="B7" s="2" t="inlineStr">
        <is>
          <t>10µm은 실측 없음(외삽). 26µm의 R=0.35는 F=128에서만 확인됨 — F=32×R=0.35 조합은 데이터에 아예 없음(미검증, R하한 0.5는 F=32 기준 실측확인값). F를 올리면 R을 더 낮출 여지가 있는지가 Phase B1의 핵심 질문.</t>
        </is>
      </c>
    </row>
    <row r="8">
      <c r="A8" s="1" t="inlineStr">
        <is>
          <t>F/W 고정 근거</t>
        </is>
      </c>
      <c r="B8" s="2" t="inlineStr">
        <is>
          <t>kV60·R0.5(38런 중 최다 반복 조건)에서 F 수준별 평균 Q_dia 편차 0.28%p, W 수준별 편차 0.03%p — 둘 다 노이즈 수준. kV 정점 고정 + 극단 R을 피하면 F/W는 직경에 관측 가능한 영향이 없어 F=32(장비 최소, tact 절약)·W=4(기본값)로 고정. 근거는 '레시피_계산기' 시트 F/W 범위·추천 행 참조.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2026-07-21T13:57:29Z</dcterms:created>
  <dcterms:modified xmlns:dcterms="http://purl.org/dc/terms/" xmlns:xsi="http://www.w3.org/2001/XMLSchema-instance" xsi:type="dcterms:W3CDTF">2026-07-21T13:57:29Z</dcterms:modified>
</cp:coreProperties>
</file>