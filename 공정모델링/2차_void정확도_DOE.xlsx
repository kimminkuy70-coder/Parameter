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계_설명" sheetId="1" state="visible" r:id="rId1"/>
    <sheet xmlns:r="http://schemas.openxmlformats.org/officeDocument/2006/relationships" name="void_DOE_런시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2차 모델링 — void 8% 판정 정확도 DOE (1차 직경모델 위에)</t>
        </is>
      </c>
    </row>
    <row r="2">
      <c r="A2" s="2" t="inlineStr">
        <is>
          <t>목적: void% 측정이 kV·R·F·W에 따라 어떻게 변하고, Gold 대비 편차·반복 σ·False OK/NG가 얼마인지 모델링. 1차(직경)에서 'R/F/W 무영향'은 직경 한정 결론 — void AREA는 다르다.</t>
        </is>
      </c>
    </row>
    <row r="3"/>
    <row r="5">
      <c r="A5" s="3" t="inlineStr">
        <is>
          <t>★ 전제조건 (없으면 시작 불가)</t>
        </is>
      </c>
    </row>
    <row r="6">
      <c r="A6" s="2" t="inlineStr">
        <is>
          <t>8% 근처 void가 있는 샘플 필수. 현재 웨이퍼는 void≈0%라 판정 정확도(False OK/NG)를 검증할 데이터가 없음. → 불량 웨이퍼 또는 인위 void 샘플 확보가 Phase0의 선결조건.</t>
        </is>
      </c>
    </row>
    <row r="7"/>
    <row r="9">
      <c r="A9" s="4" t="inlineStr">
        <is>
          <t>★ 핵심 통찰 (왜 2차가 필요한가)</t>
        </is>
      </c>
    </row>
    <row r="10">
      <c r="A10" s="2" t="inlineStr">
        <is>
          <t>직경=범프 경계(고대비)→W·F 둔감. void=범프 내부 저대비 신호→광자수(W·F)에 민감. 따라서 W·F·R·kV 모두 void AREA 정확도에 영향 가능 → 직경모델과 별개의 void모델을 회귀로 세운다.</t>
        </is>
      </c>
    </row>
    <row r="11"/>
    <row r="13">
      <c r="A13" s="5" t="inlineStr">
        <is>
          <t>■ 응답변수(측정)</t>
        </is>
      </c>
    </row>
    <row r="14">
      <c r="A14" s="1" t="inlineStr">
        <is>
          <t>측정 void%</t>
        </is>
      </c>
      <c r="B14" s="2" t="inlineStr">
        <is>
          <t>장비 % Largest Void (동일 bump 추적)</t>
        </is>
      </c>
    </row>
    <row r="15">
      <c r="A15" s="1" t="inlineStr">
        <is>
          <t>Gold void%</t>
        </is>
      </c>
      <c r="B15" s="2" t="inlineStr">
        <is>
          <t>최정밀 조건 반복 평균 (내부 기준 참값)</t>
        </is>
      </c>
    </row>
    <row r="16">
      <c r="A16" s="1" t="inlineStr">
        <is>
          <t>void 편차%</t>
        </is>
      </c>
      <c r="B16" s="2" t="inlineStr">
        <is>
          <t>(측정−Gold)/Gold — 정확도(계통+픽셀화)</t>
        </is>
      </c>
    </row>
    <row r="17">
      <c r="A17" s="1" t="inlineStr">
        <is>
          <t>void% σ</t>
        </is>
      </c>
      <c r="B17" s="2" t="inlineStr">
        <is>
          <t>동일 조건 반복 표준편차 — 노이즈(재현성)</t>
        </is>
      </c>
    </row>
    <row r="18">
      <c r="A18" s="1" t="inlineStr">
        <is>
          <t>8% 판정 / False OK·NG</t>
        </is>
      </c>
      <c r="B18" s="2" t="inlineStr">
        <is>
          <t>측정 vs 8%, Gold와 뒤집힘. False OK(미검출)=0 최우선</t>
        </is>
      </c>
    </row>
    <row r="20">
      <c r="A20" s="5" t="inlineStr">
        <is>
          <t>■ 독립변수 &amp; 초점</t>
        </is>
      </c>
    </row>
    <row r="21">
      <c r="A21" s="2" t="inlineStr">
        <is>
          <t>kV·R·F·W·D(자재). void는 내부 SNR이 관건 → W·F가 핵심(1차에선 직경 기준이라 무영향으로 보였음). R은 void 픽셀화(2/N8), kV는 void 대비. Gold=kV60·R최소·F128·W최대.</t>
        </is>
      </c>
    </row>
    <row r="22"/>
  </sheetData>
  <mergeCells count="11">
    <mergeCell ref="A9:H9"/>
    <mergeCell ref="B14:H14"/>
    <mergeCell ref="B17:H17"/>
    <mergeCell ref="B18:H18"/>
    <mergeCell ref="A2:H3"/>
    <mergeCell ref="A6:H7"/>
    <mergeCell ref="A10:H11"/>
    <mergeCell ref="B16:H16"/>
    <mergeCell ref="B15:H15"/>
    <mergeCell ref="A5:H5"/>
    <mergeCell ref="A21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11" customWidth="1" min="10" max="10"/>
    <col width="11" customWidth="1" min="11" max="11"/>
    <col width="13" customWidth="1" min="12" max="12"/>
    <col width="12" customWidth="1" min="13" max="13"/>
    <col width="13" customWidth="1" min="14" max="14"/>
    <col width="11" customWidth="1" min="15" max="15"/>
    <col width="8" customWidth="1" min="16" max="16"/>
    <col width="30" customWidth="1" min="17" max="17"/>
    <col width="12" customWidth="1" min="18" max="18"/>
  </cols>
  <sheetData>
    <row r="1">
      <c r="A1" s="1" t="inlineStr">
        <is>
          <t>void 정확도 DOE 런시트 (86µm 우선 — void 샘플 확보 후. 26µm 병행 가능)</t>
        </is>
      </c>
    </row>
    <row r="2">
      <c r="A2" s="2" t="inlineStr">
        <is>
          <t>Gold void%(K열)에 Phase0 평균을 넣으면 편차·판정 자동. 노란칸=측정 입력.</t>
        </is>
      </c>
    </row>
    <row r="4">
      <c r="A4" s="6" t="inlineStr">
        <is>
          <t>Run</t>
        </is>
      </c>
      <c r="B4" s="6" t="inlineStr">
        <is>
          <t>Phase</t>
        </is>
      </c>
      <c r="C4" s="6" t="inlineStr">
        <is>
          <t>자재</t>
        </is>
      </c>
      <c r="D4" s="6" t="inlineStr">
        <is>
          <t>PD</t>
        </is>
      </c>
      <c r="E4" s="6" t="inlineStr">
        <is>
          <t>kV</t>
        </is>
      </c>
      <c r="F4" s="6" t="inlineStr">
        <is>
          <t>R</t>
        </is>
      </c>
      <c r="G4" s="6" t="inlineStr">
        <is>
          <t>F</t>
        </is>
      </c>
      <c r="H4" s="6" t="inlineStr">
        <is>
          <t>W</t>
        </is>
      </c>
      <c r="I4" s="6" t="inlineStr">
        <is>
          <t>반복#</t>
        </is>
      </c>
      <c r="J4" s="6" t="inlineStr">
        <is>
          <t>측정void%</t>
        </is>
      </c>
      <c r="K4" s="6" t="inlineStr">
        <is>
          <t>Gold void%</t>
        </is>
      </c>
      <c r="L4" s="6" t="inlineStr">
        <is>
          <t>void편차%(자동)</t>
        </is>
      </c>
      <c r="M4" s="6" t="inlineStr">
        <is>
          <t>8%판정(자동)</t>
        </is>
      </c>
      <c r="N4" s="6" t="inlineStr">
        <is>
          <t>Gold판정(자동)</t>
        </is>
      </c>
      <c r="O4" s="6" t="inlineStr">
        <is>
          <t>False(자동)</t>
        </is>
      </c>
      <c r="P4" s="6" t="inlineStr">
        <is>
          <t>tact(초)</t>
        </is>
      </c>
      <c r="Q4" s="6" t="inlineStr">
        <is>
          <t>메모</t>
        </is>
      </c>
      <c r="R4" s="6" t="inlineStr">
        <is>
          <t>void%σ(자동)</t>
        </is>
      </c>
    </row>
    <row r="5">
      <c r="A5" t="inlineStr">
        <is>
          <t>G</t>
        </is>
      </c>
      <c r="B5" t="inlineStr">
        <is>
          <t>P0_Gold</t>
        </is>
      </c>
      <c r="C5" t="inlineStr">
        <is>
          <t>86µm</t>
        </is>
      </c>
      <c r="D5" t="n">
        <v>86</v>
      </c>
      <c r="E5" t="n">
        <v>60</v>
      </c>
      <c r="F5" t="n">
        <v>0.4</v>
      </c>
      <c r="G5" t="n">
        <v>128</v>
      </c>
      <c r="H5" t="n">
        <v>6</v>
      </c>
      <c r="I5" t="n">
        <v>1</v>
      </c>
      <c r="L5">
        <f>IFERROR((J5-K5)/K5,"")</f>
        <v/>
      </c>
      <c r="M5">
        <f>IF(J5="","",IF(J5&gt;=8,"NG","OK"))</f>
        <v/>
      </c>
      <c r="N5">
        <f>IF(K5="","",IF(K5&gt;=8,"NG","OK"))</f>
        <v/>
      </c>
      <c r="O5">
        <f>IF(OR(J5="",K5=""),"",IF(AND(N5="NG",M5="OK"),"FalseOK",IF(AND(N5="OK",M5="NG"),"FalseNG","-")))</f>
        <v/>
      </c>
      <c r="Q5" t="inlineStr">
        <is>
          <t>Gold 기준(최정밀). 이 평균을 K열에 [필수]</t>
        </is>
      </c>
      <c r="R5">
        <f>IFERROR(STDEV(J5:J9)/AVERAGE(J5:J9),"")</f>
        <v/>
      </c>
    </row>
    <row r="6">
      <c r="A6" t="inlineStr">
        <is>
          <t>G</t>
        </is>
      </c>
      <c r="B6" t="inlineStr">
        <is>
          <t>P0_Gold</t>
        </is>
      </c>
      <c r="C6" t="inlineStr">
        <is>
          <t>86µm</t>
        </is>
      </c>
      <c r="D6" t="n">
        <v>86</v>
      </c>
      <c r="E6" t="n">
        <v>60</v>
      </c>
      <c r="F6" t="n">
        <v>0.4</v>
      </c>
      <c r="G6" t="n">
        <v>128</v>
      </c>
      <c r="H6" t="n">
        <v>6</v>
      </c>
      <c r="I6" t="n">
        <v>2</v>
      </c>
      <c r="L6">
        <f>IFERROR((J6-K6)/K6,"")</f>
        <v/>
      </c>
      <c r="M6">
        <f>IF(J6="","",IF(J6&gt;=8,"NG","OK"))</f>
        <v/>
      </c>
      <c r="N6">
        <f>IF(K6="","",IF(K6&gt;=8,"NG","OK"))</f>
        <v/>
      </c>
      <c r="O6">
        <f>IF(OR(J6="",K6=""),"",IF(AND(N6="NG",M6="OK"),"FalseOK",IF(AND(N6="OK",M6="NG"),"FalseNG","-")))</f>
        <v/>
      </c>
      <c r="Q6" t="inlineStr"/>
    </row>
    <row r="7">
      <c r="A7" t="inlineStr">
        <is>
          <t>G</t>
        </is>
      </c>
      <c r="B7" t="inlineStr">
        <is>
          <t>P0_Gold</t>
        </is>
      </c>
      <c r="C7" t="inlineStr">
        <is>
          <t>86µm</t>
        </is>
      </c>
      <c r="D7" t="n">
        <v>86</v>
      </c>
      <c r="E7" t="n">
        <v>60</v>
      </c>
      <c r="F7" t="n">
        <v>0.4</v>
      </c>
      <c r="G7" t="n">
        <v>128</v>
      </c>
      <c r="H7" t="n">
        <v>6</v>
      </c>
      <c r="I7" t="n">
        <v>3</v>
      </c>
      <c r="L7">
        <f>IFERROR((J7-K7)/K7,"")</f>
        <v/>
      </c>
      <c r="M7">
        <f>IF(J7="","",IF(J7&gt;=8,"NG","OK"))</f>
        <v/>
      </c>
      <c r="N7">
        <f>IF(K7="","",IF(K7&gt;=8,"NG","OK"))</f>
        <v/>
      </c>
      <c r="O7">
        <f>IF(OR(J7="",K7=""),"",IF(AND(N7="NG",M7="OK"),"FalseOK",IF(AND(N7="OK",M7="NG"),"FalseNG","-")))</f>
        <v/>
      </c>
      <c r="Q7" t="inlineStr"/>
    </row>
    <row r="8">
      <c r="A8" t="inlineStr">
        <is>
          <t>G</t>
        </is>
      </c>
      <c r="B8" t="inlineStr">
        <is>
          <t>P0_Gold</t>
        </is>
      </c>
      <c r="C8" t="inlineStr">
        <is>
          <t>86µm</t>
        </is>
      </c>
      <c r="D8" t="n">
        <v>86</v>
      </c>
      <c r="E8" t="n">
        <v>60</v>
      </c>
      <c r="F8" t="n">
        <v>0.4</v>
      </c>
      <c r="G8" t="n">
        <v>128</v>
      </c>
      <c r="H8" t="n">
        <v>6</v>
      </c>
      <c r="I8" t="n">
        <v>4</v>
      </c>
      <c r="L8">
        <f>IFERROR((J8-K8)/K8,"")</f>
        <v/>
      </c>
      <c r="M8">
        <f>IF(J8="","",IF(J8&gt;=8,"NG","OK"))</f>
        <v/>
      </c>
      <c r="N8">
        <f>IF(K8="","",IF(K8&gt;=8,"NG","OK"))</f>
        <v/>
      </c>
      <c r="O8">
        <f>IF(OR(J8="",K8=""),"",IF(AND(N8="NG",M8="OK"),"FalseOK",IF(AND(N8="OK",M8="NG"),"FalseNG","-")))</f>
        <v/>
      </c>
      <c r="Q8" t="inlineStr"/>
    </row>
    <row r="9">
      <c r="A9" t="inlineStr">
        <is>
          <t>G</t>
        </is>
      </c>
      <c r="B9" t="inlineStr">
        <is>
          <t>P0_Gold</t>
        </is>
      </c>
      <c r="C9" t="inlineStr">
        <is>
          <t>86µm</t>
        </is>
      </c>
      <c r="D9" t="n">
        <v>86</v>
      </c>
      <c r="E9" t="n">
        <v>60</v>
      </c>
      <c r="F9" t="n">
        <v>0.4</v>
      </c>
      <c r="G9" t="n">
        <v>128</v>
      </c>
      <c r="H9" t="n">
        <v>6</v>
      </c>
      <c r="I9" t="n">
        <v>5</v>
      </c>
      <c r="L9">
        <f>IFERROR((J9-K9)/K9,"")</f>
        <v/>
      </c>
      <c r="M9">
        <f>IF(J9="","",IF(J9&gt;=8,"NG","OK"))</f>
        <v/>
      </c>
      <c r="N9">
        <f>IF(K9="","",IF(K9&gt;=8,"NG","OK"))</f>
        <v/>
      </c>
      <c r="O9">
        <f>IF(OR(J9="",K9=""),"",IF(AND(N9="NG",M9="OK"),"FalseOK",IF(AND(N9="OK",M9="NG"),"FalseNG","-")))</f>
        <v/>
      </c>
      <c r="Q9" t="inlineStr"/>
    </row>
    <row r="10">
      <c r="A10" t="inlineStr">
        <is>
          <t>W4</t>
        </is>
      </c>
      <c r="B10" t="inlineStr">
        <is>
          <t>P1_W</t>
        </is>
      </c>
      <c r="C10" t="inlineStr">
        <is>
          <t>86µm</t>
        </is>
      </c>
      <c r="D10" t="n">
        <v>86</v>
      </c>
      <c r="E10" t="n">
        <v>60</v>
      </c>
      <c r="F10" t="n">
        <v>0.8</v>
      </c>
      <c r="G10" t="n">
        <v>64</v>
      </c>
      <c r="H10" t="n">
        <v>4</v>
      </c>
      <c r="I10" t="n">
        <v>1</v>
      </c>
      <c r="L10">
        <f>IFERROR((J10-K10)/K10,"")</f>
        <v/>
      </c>
      <c r="M10">
        <f>IF(J10="","",IF(J10&gt;=8,"NG","OK"))</f>
        <v/>
      </c>
      <c r="N10">
        <f>IF(K10="","",IF(K10&gt;=8,"NG","OK"))</f>
        <v/>
      </c>
      <c r="O10">
        <f>IF(OR(J10="",K10=""),"",IF(AND(N10="NG",M10="OK"),"FalseOK",IF(AND(N10="OK",M10="NG"),"FalseNG","-")))</f>
        <v/>
      </c>
      <c r="Q10" t="inlineStr">
        <is>
          <t>W=4 — void AREA 변화(핵심) [필수]</t>
        </is>
      </c>
      <c r="R10">
        <f>IFERROR(STDEV(J10:J12)/AVERAGE(J10:J12),"")</f>
        <v/>
      </c>
    </row>
    <row r="11">
      <c r="A11" t="inlineStr">
        <is>
          <t>W4</t>
        </is>
      </c>
      <c r="B11" t="inlineStr">
        <is>
          <t>P1_W</t>
        </is>
      </c>
      <c r="C11" t="inlineStr">
        <is>
          <t>86µm</t>
        </is>
      </c>
      <c r="D11" t="n">
        <v>86</v>
      </c>
      <c r="E11" t="n">
        <v>60</v>
      </c>
      <c r="F11" t="n">
        <v>0.8</v>
      </c>
      <c r="G11" t="n">
        <v>64</v>
      </c>
      <c r="H11" t="n">
        <v>4</v>
      </c>
      <c r="I11" t="n">
        <v>2</v>
      </c>
      <c r="L11">
        <f>IFERROR((J11-K11)/K11,"")</f>
        <v/>
      </c>
      <c r="M11">
        <f>IF(J11="","",IF(J11&gt;=8,"NG","OK"))</f>
        <v/>
      </c>
      <c r="N11">
        <f>IF(K11="","",IF(K11&gt;=8,"NG","OK"))</f>
        <v/>
      </c>
      <c r="O11">
        <f>IF(OR(J11="",K11=""),"",IF(AND(N11="NG",M11="OK"),"FalseOK",IF(AND(N11="OK",M11="NG"),"FalseNG","-")))</f>
        <v/>
      </c>
      <c r="Q11" t="inlineStr"/>
    </row>
    <row r="12">
      <c r="A12" t="inlineStr">
        <is>
          <t>W4</t>
        </is>
      </c>
      <c r="B12" t="inlineStr">
        <is>
          <t>P1_W</t>
        </is>
      </c>
      <c r="C12" t="inlineStr">
        <is>
          <t>86µm</t>
        </is>
      </c>
      <c r="D12" t="n">
        <v>86</v>
      </c>
      <c r="E12" t="n">
        <v>60</v>
      </c>
      <c r="F12" t="n">
        <v>0.8</v>
      </c>
      <c r="G12" t="n">
        <v>64</v>
      </c>
      <c r="H12" t="n">
        <v>4</v>
      </c>
      <c r="I12" t="n">
        <v>3</v>
      </c>
      <c r="L12">
        <f>IFERROR((J12-K12)/K12,"")</f>
        <v/>
      </c>
      <c r="M12">
        <f>IF(J12="","",IF(J12&gt;=8,"NG","OK"))</f>
        <v/>
      </c>
      <c r="N12">
        <f>IF(K12="","",IF(K12&gt;=8,"NG","OK"))</f>
        <v/>
      </c>
      <c r="O12">
        <f>IF(OR(J12="",K12=""),"",IF(AND(N12="NG",M12="OK"),"FalseOK",IF(AND(N12="OK",M12="NG"),"FalseNG","-")))</f>
        <v/>
      </c>
      <c r="Q12" t="inlineStr"/>
    </row>
    <row r="13">
      <c r="A13" t="inlineStr">
        <is>
          <t>W6</t>
        </is>
      </c>
      <c r="B13" t="inlineStr">
        <is>
          <t>P1_W</t>
        </is>
      </c>
      <c r="C13" t="inlineStr">
        <is>
          <t>86µm</t>
        </is>
      </c>
      <c r="D13" t="n">
        <v>86</v>
      </c>
      <c r="E13" t="n">
        <v>60</v>
      </c>
      <c r="F13" t="n">
        <v>0.8</v>
      </c>
      <c r="G13" t="n">
        <v>64</v>
      </c>
      <c r="H13" t="n">
        <v>6</v>
      </c>
      <c r="I13" t="n">
        <v>1</v>
      </c>
      <c r="L13">
        <f>IFERROR((J13-K13)/K13,"")</f>
        <v/>
      </c>
      <c r="M13">
        <f>IF(J13="","",IF(J13&gt;=8,"NG","OK"))</f>
        <v/>
      </c>
      <c r="N13">
        <f>IF(K13="","",IF(K13&gt;=8,"NG","OK"))</f>
        <v/>
      </c>
      <c r="O13">
        <f>IF(OR(J13="",K13=""),"",IF(AND(N13="NG",M13="OK"),"FalseOK",IF(AND(N13="OK",M13="NG"),"FalseNG","-")))</f>
        <v/>
      </c>
      <c r="Q13" t="inlineStr">
        <is>
          <t>W=6 — void AREA 변화(핵심) [필수]</t>
        </is>
      </c>
      <c r="R13">
        <f>IFERROR(STDEV(J13:J15)/AVERAGE(J13:J15),"")</f>
        <v/>
      </c>
    </row>
    <row r="14">
      <c r="A14" t="inlineStr">
        <is>
          <t>W6</t>
        </is>
      </c>
      <c r="B14" t="inlineStr">
        <is>
          <t>P1_W</t>
        </is>
      </c>
      <c r="C14" t="inlineStr">
        <is>
          <t>86µm</t>
        </is>
      </c>
      <c r="D14" t="n">
        <v>86</v>
      </c>
      <c r="E14" t="n">
        <v>60</v>
      </c>
      <c r="F14" t="n">
        <v>0.8</v>
      </c>
      <c r="G14" t="n">
        <v>64</v>
      </c>
      <c r="H14" t="n">
        <v>6</v>
      </c>
      <c r="I14" t="n">
        <v>2</v>
      </c>
      <c r="L14">
        <f>IFERROR((J14-K14)/K14,"")</f>
        <v/>
      </c>
      <c r="M14">
        <f>IF(J14="","",IF(J14&gt;=8,"NG","OK"))</f>
        <v/>
      </c>
      <c r="N14">
        <f>IF(K14="","",IF(K14&gt;=8,"NG","OK"))</f>
        <v/>
      </c>
      <c r="O14">
        <f>IF(OR(J14="",K14=""),"",IF(AND(N14="NG",M14="OK"),"FalseOK",IF(AND(N14="OK",M14="NG"),"FalseNG","-")))</f>
        <v/>
      </c>
      <c r="Q14" t="inlineStr"/>
    </row>
    <row r="15">
      <c r="A15" t="inlineStr">
        <is>
          <t>W6</t>
        </is>
      </c>
      <c r="B15" t="inlineStr">
        <is>
          <t>P1_W</t>
        </is>
      </c>
      <c r="C15" t="inlineStr">
        <is>
          <t>86µm</t>
        </is>
      </c>
      <c r="D15" t="n">
        <v>86</v>
      </c>
      <c r="E15" t="n">
        <v>60</v>
      </c>
      <c r="F15" t="n">
        <v>0.8</v>
      </c>
      <c r="G15" t="n">
        <v>64</v>
      </c>
      <c r="H15" t="n">
        <v>6</v>
      </c>
      <c r="I15" t="n">
        <v>3</v>
      </c>
      <c r="L15">
        <f>IFERROR((J15-K15)/K15,"")</f>
        <v/>
      </c>
      <c r="M15">
        <f>IF(J15="","",IF(J15&gt;=8,"NG","OK"))</f>
        <v/>
      </c>
      <c r="N15">
        <f>IF(K15="","",IF(K15&gt;=8,"NG","OK"))</f>
        <v/>
      </c>
      <c r="O15">
        <f>IF(OR(J15="",K15=""),"",IF(AND(N15="NG",M15="OK"),"FalseOK",IF(AND(N15="OK",M15="NG"),"FalseNG","-")))</f>
        <v/>
      </c>
      <c r="Q15" t="inlineStr"/>
    </row>
    <row r="16">
      <c r="A16" t="inlineStr">
        <is>
          <t>W8</t>
        </is>
      </c>
      <c r="B16" t="inlineStr">
        <is>
          <t>P1_W</t>
        </is>
      </c>
      <c r="C16" t="inlineStr">
        <is>
          <t>86µm</t>
        </is>
      </c>
      <c r="D16" t="n">
        <v>86</v>
      </c>
      <c r="E16" t="n">
        <v>60</v>
      </c>
      <c r="F16" t="n">
        <v>0.8</v>
      </c>
      <c r="G16" t="n">
        <v>64</v>
      </c>
      <c r="H16" t="n">
        <v>8</v>
      </c>
      <c r="I16" t="n">
        <v>1</v>
      </c>
      <c r="L16">
        <f>IFERROR((J16-K16)/K16,"")</f>
        <v/>
      </c>
      <c r="M16">
        <f>IF(J16="","",IF(J16&gt;=8,"NG","OK"))</f>
        <v/>
      </c>
      <c r="N16">
        <f>IF(K16="","",IF(K16&gt;=8,"NG","OK"))</f>
        <v/>
      </c>
      <c r="O16">
        <f>IF(OR(J16="",K16=""),"",IF(AND(N16="NG",M16="OK"),"FalseOK",IF(AND(N16="OK",M16="NG"),"FalseNG","-")))</f>
        <v/>
      </c>
      <c r="Q16" t="inlineStr">
        <is>
          <t>W=8 — void AREA 변화(핵심) [필수]</t>
        </is>
      </c>
      <c r="R16">
        <f>IFERROR(STDEV(J16:J18)/AVERAGE(J16:J18),"")</f>
        <v/>
      </c>
    </row>
    <row r="17">
      <c r="A17" t="inlineStr">
        <is>
          <t>W8</t>
        </is>
      </c>
      <c r="B17" t="inlineStr">
        <is>
          <t>P1_W</t>
        </is>
      </c>
      <c r="C17" t="inlineStr">
        <is>
          <t>86µm</t>
        </is>
      </c>
      <c r="D17" t="n">
        <v>86</v>
      </c>
      <c r="E17" t="n">
        <v>60</v>
      </c>
      <c r="F17" t="n">
        <v>0.8</v>
      </c>
      <c r="G17" t="n">
        <v>64</v>
      </c>
      <c r="H17" t="n">
        <v>8</v>
      </c>
      <c r="I17" t="n">
        <v>2</v>
      </c>
      <c r="L17">
        <f>IFERROR((J17-K17)/K17,"")</f>
        <v/>
      </c>
      <c r="M17">
        <f>IF(J17="","",IF(J17&gt;=8,"NG","OK"))</f>
        <v/>
      </c>
      <c r="N17">
        <f>IF(K17="","",IF(K17&gt;=8,"NG","OK"))</f>
        <v/>
      </c>
      <c r="O17">
        <f>IF(OR(J17="",K17=""),"",IF(AND(N17="NG",M17="OK"),"FalseOK",IF(AND(N17="OK",M17="NG"),"FalseNG","-")))</f>
        <v/>
      </c>
      <c r="Q17" t="inlineStr"/>
    </row>
    <row r="18">
      <c r="A18" t="inlineStr">
        <is>
          <t>W8</t>
        </is>
      </c>
      <c r="B18" t="inlineStr">
        <is>
          <t>P1_W</t>
        </is>
      </c>
      <c r="C18" t="inlineStr">
        <is>
          <t>86µm</t>
        </is>
      </c>
      <c r="D18" t="n">
        <v>86</v>
      </c>
      <c r="E18" t="n">
        <v>60</v>
      </c>
      <c r="F18" t="n">
        <v>0.8</v>
      </c>
      <c r="G18" t="n">
        <v>64</v>
      </c>
      <c r="H18" t="n">
        <v>8</v>
      </c>
      <c r="I18" t="n">
        <v>3</v>
      </c>
      <c r="L18">
        <f>IFERROR((J18-K18)/K18,"")</f>
        <v/>
      </c>
      <c r="M18">
        <f>IF(J18="","",IF(J18&gt;=8,"NG","OK"))</f>
        <v/>
      </c>
      <c r="N18">
        <f>IF(K18="","",IF(K18&gt;=8,"NG","OK"))</f>
        <v/>
      </c>
      <c r="O18">
        <f>IF(OR(J18="",K18=""),"",IF(AND(N18="NG",M18="OK"),"FalseOK",IF(AND(N18="OK",M18="NG"),"FalseNG","-")))</f>
        <v/>
      </c>
      <c r="Q18" t="inlineStr"/>
    </row>
    <row r="19">
      <c r="A19" t="inlineStr">
        <is>
          <t>F32</t>
        </is>
      </c>
      <c r="B19" t="inlineStr">
        <is>
          <t>P1_F</t>
        </is>
      </c>
      <c r="C19" t="inlineStr">
        <is>
          <t>86µm</t>
        </is>
      </c>
      <c r="D19" t="n">
        <v>86</v>
      </c>
      <c r="E19" t="n">
        <v>60</v>
      </c>
      <c r="F19" t="n">
        <v>0.8</v>
      </c>
      <c r="G19" t="n">
        <v>32</v>
      </c>
      <c r="H19" t="n">
        <v>4</v>
      </c>
      <c r="I19" t="n">
        <v>1</v>
      </c>
      <c r="L19">
        <f>IFERROR((J19-K19)/K19,"")</f>
        <v/>
      </c>
      <c r="M19">
        <f>IF(J19="","",IF(J19&gt;=8,"NG","OK"))</f>
        <v/>
      </c>
      <c r="N19">
        <f>IF(K19="","",IF(K19&gt;=8,"NG","OK"))</f>
        <v/>
      </c>
      <c r="O19">
        <f>IF(OR(J19="",K19=""),"",IF(AND(N19="NG",M19="OK"),"FalseOK",IF(AND(N19="OK",M19="NG"),"FalseNG","-")))</f>
        <v/>
      </c>
      <c r="Q19" t="inlineStr">
        <is>
          <t>F=32 — void% 반복 σ [필수]</t>
        </is>
      </c>
      <c r="R19">
        <f>IFERROR(STDEV(J19:J21)/AVERAGE(J19:J21),"")</f>
        <v/>
      </c>
    </row>
    <row r="20">
      <c r="A20" t="inlineStr">
        <is>
          <t>F32</t>
        </is>
      </c>
      <c r="B20" t="inlineStr">
        <is>
          <t>P1_F</t>
        </is>
      </c>
      <c r="C20" t="inlineStr">
        <is>
          <t>86µm</t>
        </is>
      </c>
      <c r="D20" t="n">
        <v>86</v>
      </c>
      <c r="E20" t="n">
        <v>60</v>
      </c>
      <c r="F20" t="n">
        <v>0.8</v>
      </c>
      <c r="G20" t="n">
        <v>32</v>
      </c>
      <c r="H20" t="n">
        <v>4</v>
      </c>
      <c r="I20" t="n">
        <v>2</v>
      </c>
      <c r="L20">
        <f>IFERROR((J20-K20)/K20,"")</f>
        <v/>
      </c>
      <c r="M20">
        <f>IF(J20="","",IF(J20&gt;=8,"NG","OK"))</f>
        <v/>
      </c>
      <c r="N20">
        <f>IF(K20="","",IF(K20&gt;=8,"NG","OK"))</f>
        <v/>
      </c>
      <c r="O20">
        <f>IF(OR(J20="",K20=""),"",IF(AND(N20="NG",M20="OK"),"FalseOK",IF(AND(N20="OK",M20="NG"),"FalseNG","-")))</f>
        <v/>
      </c>
      <c r="Q20" t="inlineStr"/>
    </row>
    <row r="21">
      <c r="A21" t="inlineStr">
        <is>
          <t>F32</t>
        </is>
      </c>
      <c r="B21" t="inlineStr">
        <is>
          <t>P1_F</t>
        </is>
      </c>
      <c r="C21" t="inlineStr">
        <is>
          <t>86µm</t>
        </is>
      </c>
      <c r="D21" t="n">
        <v>86</v>
      </c>
      <c r="E21" t="n">
        <v>60</v>
      </c>
      <c r="F21" t="n">
        <v>0.8</v>
      </c>
      <c r="G21" t="n">
        <v>32</v>
      </c>
      <c r="H21" t="n">
        <v>4</v>
      </c>
      <c r="I21" t="n">
        <v>3</v>
      </c>
      <c r="L21">
        <f>IFERROR((J21-K21)/K21,"")</f>
        <v/>
      </c>
      <c r="M21">
        <f>IF(J21="","",IF(J21&gt;=8,"NG","OK"))</f>
        <v/>
      </c>
      <c r="N21">
        <f>IF(K21="","",IF(K21&gt;=8,"NG","OK"))</f>
        <v/>
      </c>
      <c r="O21">
        <f>IF(OR(J21="",K21=""),"",IF(AND(N21="NG",M21="OK"),"FalseOK",IF(AND(N21="OK",M21="NG"),"FalseNG","-")))</f>
        <v/>
      </c>
      <c r="Q21" t="inlineStr"/>
    </row>
    <row r="22">
      <c r="A22" t="inlineStr">
        <is>
          <t>F64</t>
        </is>
      </c>
      <c r="B22" t="inlineStr">
        <is>
          <t>P1_F</t>
        </is>
      </c>
      <c r="C22" t="inlineStr">
        <is>
          <t>86µm</t>
        </is>
      </c>
      <c r="D22" t="n">
        <v>86</v>
      </c>
      <c r="E22" t="n">
        <v>60</v>
      </c>
      <c r="F22" t="n">
        <v>0.8</v>
      </c>
      <c r="G22" t="n">
        <v>64</v>
      </c>
      <c r="H22" t="n">
        <v>4</v>
      </c>
      <c r="I22" t="n">
        <v>1</v>
      </c>
      <c r="L22">
        <f>IFERROR((J22-K22)/K22,"")</f>
        <v/>
      </c>
      <c r="M22">
        <f>IF(J22="","",IF(J22&gt;=8,"NG","OK"))</f>
        <v/>
      </c>
      <c r="N22">
        <f>IF(K22="","",IF(K22&gt;=8,"NG","OK"))</f>
        <v/>
      </c>
      <c r="O22">
        <f>IF(OR(J22="",K22=""),"",IF(AND(N22="NG",M22="OK"),"FalseOK",IF(AND(N22="OK",M22="NG"),"FalseNG","-")))</f>
        <v/>
      </c>
      <c r="Q22" t="inlineStr">
        <is>
          <t>F=64 — void% 반복 σ [필수]</t>
        </is>
      </c>
      <c r="R22">
        <f>IFERROR(STDEV(J22:J24)/AVERAGE(J22:J24),"")</f>
        <v/>
      </c>
    </row>
    <row r="23">
      <c r="A23" t="inlineStr">
        <is>
          <t>F64</t>
        </is>
      </c>
      <c r="B23" t="inlineStr">
        <is>
          <t>P1_F</t>
        </is>
      </c>
      <c r="C23" t="inlineStr">
        <is>
          <t>86µm</t>
        </is>
      </c>
      <c r="D23" t="n">
        <v>86</v>
      </c>
      <c r="E23" t="n">
        <v>60</v>
      </c>
      <c r="F23" t="n">
        <v>0.8</v>
      </c>
      <c r="G23" t="n">
        <v>64</v>
      </c>
      <c r="H23" t="n">
        <v>4</v>
      </c>
      <c r="I23" t="n">
        <v>2</v>
      </c>
      <c r="L23">
        <f>IFERROR((J23-K23)/K23,"")</f>
        <v/>
      </c>
      <c r="M23">
        <f>IF(J23="","",IF(J23&gt;=8,"NG","OK"))</f>
        <v/>
      </c>
      <c r="N23">
        <f>IF(K23="","",IF(K23&gt;=8,"NG","OK"))</f>
        <v/>
      </c>
      <c r="O23">
        <f>IF(OR(J23="",K23=""),"",IF(AND(N23="NG",M23="OK"),"FalseOK",IF(AND(N23="OK",M23="NG"),"FalseNG","-")))</f>
        <v/>
      </c>
      <c r="Q23" t="inlineStr"/>
    </row>
    <row r="24">
      <c r="A24" t="inlineStr">
        <is>
          <t>F64</t>
        </is>
      </c>
      <c r="B24" t="inlineStr">
        <is>
          <t>P1_F</t>
        </is>
      </c>
      <c r="C24" t="inlineStr">
        <is>
          <t>86µm</t>
        </is>
      </c>
      <c r="D24" t="n">
        <v>86</v>
      </c>
      <c r="E24" t="n">
        <v>60</v>
      </c>
      <c r="F24" t="n">
        <v>0.8</v>
      </c>
      <c r="G24" t="n">
        <v>64</v>
      </c>
      <c r="H24" t="n">
        <v>4</v>
      </c>
      <c r="I24" t="n">
        <v>3</v>
      </c>
      <c r="L24">
        <f>IFERROR((J24-K24)/K24,"")</f>
        <v/>
      </c>
      <c r="M24">
        <f>IF(J24="","",IF(J24&gt;=8,"NG","OK"))</f>
        <v/>
      </c>
      <c r="N24">
        <f>IF(K24="","",IF(K24&gt;=8,"NG","OK"))</f>
        <v/>
      </c>
      <c r="O24">
        <f>IF(OR(J24="",K24=""),"",IF(AND(N24="NG",M24="OK"),"FalseOK",IF(AND(N24="OK",M24="NG"),"FalseNG","-")))</f>
        <v/>
      </c>
      <c r="Q24" t="inlineStr"/>
    </row>
    <row r="25">
      <c r="A25" t="inlineStr">
        <is>
          <t>F128</t>
        </is>
      </c>
      <c r="B25" t="inlineStr">
        <is>
          <t>P1_F</t>
        </is>
      </c>
      <c r="C25" t="inlineStr">
        <is>
          <t>86µm</t>
        </is>
      </c>
      <c r="D25" t="n">
        <v>86</v>
      </c>
      <c r="E25" t="n">
        <v>60</v>
      </c>
      <c r="F25" t="n">
        <v>0.8</v>
      </c>
      <c r="G25" t="n">
        <v>128</v>
      </c>
      <c r="H25" t="n">
        <v>4</v>
      </c>
      <c r="I25" t="n">
        <v>1</v>
      </c>
      <c r="L25">
        <f>IFERROR((J25-K25)/K25,"")</f>
        <v/>
      </c>
      <c r="M25">
        <f>IF(J25="","",IF(J25&gt;=8,"NG","OK"))</f>
        <v/>
      </c>
      <c r="N25">
        <f>IF(K25="","",IF(K25&gt;=8,"NG","OK"))</f>
        <v/>
      </c>
      <c r="O25">
        <f>IF(OR(J25="",K25=""),"",IF(AND(N25="NG",M25="OK"),"FalseOK",IF(AND(N25="OK",M25="NG"),"FalseNG","-")))</f>
        <v/>
      </c>
      <c r="Q25" t="inlineStr">
        <is>
          <t>F=128 — void% 반복 σ [필수]</t>
        </is>
      </c>
      <c r="R25">
        <f>IFERROR(STDEV(J25:J27)/AVERAGE(J25:J27),"")</f>
        <v/>
      </c>
    </row>
    <row r="26">
      <c r="A26" t="inlineStr">
        <is>
          <t>F128</t>
        </is>
      </c>
      <c r="B26" t="inlineStr">
        <is>
          <t>P1_F</t>
        </is>
      </c>
      <c r="C26" t="inlineStr">
        <is>
          <t>86µm</t>
        </is>
      </c>
      <c r="D26" t="n">
        <v>86</v>
      </c>
      <c r="E26" t="n">
        <v>60</v>
      </c>
      <c r="F26" t="n">
        <v>0.8</v>
      </c>
      <c r="G26" t="n">
        <v>128</v>
      </c>
      <c r="H26" t="n">
        <v>4</v>
      </c>
      <c r="I26" t="n">
        <v>2</v>
      </c>
      <c r="L26">
        <f>IFERROR((J26-K26)/K26,"")</f>
        <v/>
      </c>
      <c r="M26">
        <f>IF(J26="","",IF(J26&gt;=8,"NG","OK"))</f>
        <v/>
      </c>
      <c r="N26">
        <f>IF(K26="","",IF(K26&gt;=8,"NG","OK"))</f>
        <v/>
      </c>
      <c r="O26">
        <f>IF(OR(J26="",K26=""),"",IF(AND(N26="NG",M26="OK"),"FalseOK",IF(AND(N26="OK",M26="NG"),"FalseNG","-")))</f>
        <v/>
      </c>
      <c r="Q26" t="inlineStr"/>
    </row>
    <row r="27">
      <c r="A27" t="inlineStr">
        <is>
          <t>F128</t>
        </is>
      </c>
      <c r="B27" t="inlineStr">
        <is>
          <t>P1_F</t>
        </is>
      </c>
      <c r="C27" t="inlineStr">
        <is>
          <t>86µm</t>
        </is>
      </c>
      <c r="D27" t="n">
        <v>86</v>
      </c>
      <c r="E27" t="n">
        <v>60</v>
      </c>
      <c r="F27" t="n">
        <v>0.8</v>
      </c>
      <c r="G27" t="n">
        <v>128</v>
      </c>
      <c r="H27" t="n">
        <v>4</v>
      </c>
      <c r="I27" t="n">
        <v>3</v>
      </c>
      <c r="L27">
        <f>IFERROR((J27-K27)/K27,"")</f>
        <v/>
      </c>
      <c r="M27">
        <f>IF(J27="","",IF(J27&gt;=8,"NG","OK"))</f>
        <v/>
      </c>
      <c r="N27">
        <f>IF(K27="","",IF(K27&gt;=8,"NG","OK"))</f>
        <v/>
      </c>
      <c r="O27">
        <f>IF(OR(J27="",K27=""),"",IF(AND(N27="NG",M27="OK"),"FalseOK",IF(AND(N27="OK",M27="NG"),"FalseNG","-")))</f>
        <v/>
      </c>
      <c r="Q27" t="inlineStr"/>
    </row>
    <row r="28">
      <c r="A28" t="inlineStr">
        <is>
          <t>R0.4</t>
        </is>
      </c>
      <c r="B28" t="inlineStr">
        <is>
          <t>P1_R</t>
        </is>
      </c>
      <c r="C28" t="inlineStr">
        <is>
          <t>86µm</t>
        </is>
      </c>
      <c r="D28" t="n">
        <v>86</v>
      </c>
      <c r="E28" t="n">
        <v>60</v>
      </c>
      <c r="F28" t="n">
        <v>0.4</v>
      </c>
      <c r="G28" t="n">
        <v>64</v>
      </c>
      <c r="H28" t="n">
        <v>4</v>
      </c>
      <c r="I28" t="n">
        <v>1</v>
      </c>
      <c r="L28">
        <f>IFERROR((J28-K28)/K28,"")</f>
        <v/>
      </c>
      <c r="M28">
        <f>IF(J28="","",IF(J28&gt;=8,"NG","OK"))</f>
        <v/>
      </c>
      <c r="N28">
        <f>IF(K28="","",IF(K28&gt;=8,"NG","OK"))</f>
        <v/>
      </c>
      <c r="O28">
        <f>IF(OR(J28="",K28=""),"",IF(AND(N28="NG",M28="OK"),"FalseOK",IF(AND(N28="OK",M28="NG"),"FalseNG","-")))</f>
        <v/>
      </c>
      <c r="Q28" t="inlineStr">
        <is>
          <t>R=0.4 — void 픽셀화(2/N8) [권장]</t>
        </is>
      </c>
      <c r="R28">
        <f>IFERROR(STDEV(J28:J30)/AVERAGE(J28:J30),"")</f>
        <v/>
      </c>
    </row>
    <row r="29">
      <c r="A29" t="inlineStr">
        <is>
          <t>R0.4</t>
        </is>
      </c>
      <c r="B29" t="inlineStr">
        <is>
          <t>P1_R</t>
        </is>
      </c>
      <c r="C29" t="inlineStr">
        <is>
          <t>86µm</t>
        </is>
      </c>
      <c r="D29" t="n">
        <v>86</v>
      </c>
      <c r="E29" t="n">
        <v>60</v>
      </c>
      <c r="F29" t="n">
        <v>0.4</v>
      </c>
      <c r="G29" t="n">
        <v>64</v>
      </c>
      <c r="H29" t="n">
        <v>4</v>
      </c>
      <c r="I29" t="n">
        <v>2</v>
      </c>
      <c r="L29">
        <f>IFERROR((J29-K29)/K29,"")</f>
        <v/>
      </c>
      <c r="M29">
        <f>IF(J29="","",IF(J29&gt;=8,"NG","OK"))</f>
        <v/>
      </c>
      <c r="N29">
        <f>IF(K29="","",IF(K29&gt;=8,"NG","OK"))</f>
        <v/>
      </c>
      <c r="O29">
        <f>IF(OR(J29="",K29=""),"",IF(AND(N29="NG",M29="OK"),"FalseOK",IF(AND(N29="OK",M29="NG"),"FalseNG","-")))</f>
        <v/>
      </c>
      <c r="Q29" t="inlineStr"/>
    </row>
    <row r="30">
      <c r="A30" t="inlineStr">
        <is>
          <t>R0.4</t>
        </is>
      </c>
      <c r="B30" t="inlineStr">
        <is>
          <t>P1_R</t>
        </is>
      </c>
      <c r="C30" t="inlineStr">
        <is>
          <t>86µm</t>
        </is>
      </c>
      <c r="D30" t="n">
        <v>86</v>
      </c>
      <c r="E30" t="n">
        <v>60</v>
      </c>
      <c r="F30" t="n">
        <v>0.4</v>
      </c>
      <c r="G30" t="n">
        <v>64</v>
      </c>
      <c r="H30" t="n">
        <v>4</v>
      </c>
      <c r="I30" t="n">
        <v>3</v>
      </c>
      <c r="L30">
        <f>IFERROR((J30-K30)/K30,"")</f>
        <v/>
      </c>
      <c r="M30">
        <f>IF(J30="","",IF(J30&gt;=8,"NG","OK"))</f>
        <v/>
      </c>
      <c r="N30">
        <f>IF(K30="","",IF(K30&gt;=8,"NG","OK"))</f>
        <v/>
      </c>
      <c r="O30">
        <f>IF(OR(J30="",K30=""),"",IF(AND(N30="NG",M30="OK"),"FalseOK",IF(AND(N30="OK",M30="NG"),"FalseNG","-")))</f>
        <v/>
      </c>
      <c r="Q30" t="inlineStr"/>
    </row>
    <row r="31">
      <c r="A31" t="inlineStr">
        <is>
          <t>R0.8</t>
        </is>
      </c>
      <c r="B31" t="inlineStr">
        <is>
          <t>P1_R</t>
        </is>
      </c>
      <c r="C31" t="inlineStr">
        <is>
          <t>86µm</t>
        </is>
      </c>
      <c r="D31" t="n">
        <v>86</v>
      </c>
      <c r="E31" t="n">
        <v>60</v>
      </c>
      <c r="F31" t="n">
        <v>0.8</v>
      </c>
      <c r="G31" t="n">
        <v>64</v>
      </c>
      <c r="H31" t="n">
        <v>4</v>
      </c>
      <c r="I31" t="n">
        <v>1</v>
      </c>
      <c r="L31">
        <f>IFERROR((J31-K31)/K31,"")</f>
        <v/>
      </c>
      <c r="M31">
        <f>IF(J31="","",IF(J31&gt;=8,"NG","OK"))</f>
        <v/>
      </c>
      <c r="N31">
        <f>IF(K31="","",IF(K31&gt;=8,"NG","OK"))</f>
        <v/>
      </c>
      <c r="O31">
        <f>IF(OR(J31="",K31=""),"",IF(AND(N31="NG",M31="OK"),"FalseOK",IF(AND(N31="OK",M31="NG"),"FalseNG","-")))</f>
        <v/>
      </c>
      <c r="Q31" t="inlineStr">
        <is>
          <t>R=0.8 — void 픽셀화(2/N8) [권장]</t>
        </is>
      </c>
      <c r="R31">
        <f>IFERROR(STDEV(J31:J33)/AVERAGE(J31:J33),"")</f>
        <v/>
      </c>
    </row>
    <row r="32">
      <c r="A32" t="inlineStr">
        <is>
          <t>R0.8</t>
        </is>
      </c>
      <c r="B32" t="inlineStr">
        <is>
          <t>P1_R</t>
        </is>
      </c>
      <c r="C32" t="inlineStr">
        <is>
          <t>86µm</t>
        </is>
      </c>
      <c r="D32" t="n">
        <v>86</v>
      </c>
      <c r="E32" t="n">
        <v>60</v>
      </c>
      <c r="F32" t="n">
        <v>0.8</v>
      </c>
      <c r="G32" t="n">
        <v>64</v>
      </c>
      <c r="H32" t="n">
        <v>4</v>
      </c>
      <c r="I32" t="n">
        <v>2</v>
      </c>
      <c r="L32">
        <f>IFERROR((J32-K32)/K32,"")</f>
        <v/>
      </c>
      <c r="M32">
        <f>IF(J32="","",IF(J32&gt;=8,"NG","OK"))</f>
        <v/>
      </c>
      <c r="N32">
        <f>IF(K32="","",IF(K32&gt;=8,"NG","OK"))</f>
        <v/>
      </c>
      <c r="O32">
        <f>IF(OR(J32="",K32=""),"",IF(AND(N32="NG",M32="OK"),"FalseOK",IF(AND(N32="OK",M32="NG"),"FalseNG","-")))</f>
        <v/>
      </c>
      <c r="Q32" t="inlineStr"/>
    </row>
    <row r="33">
      <c r="A33" t="inlineStr">
        <is>
          <t>R0.8</t>
        </is>
      </c>
      <c r="B33" t="inlineStr">
        <is>
          <t>P1_R</t>
        </is>
      </c>
      <c r="C33" t="inlineStr">
        <is>
          <t>86µm</t>
        </is>
      </c>
      <c r="D33" t="n">
        <v>86</v>
      </c>
      <c r="E33" t="n">
        <v>60</v>
      </c>
      <c r="F33" t="n">
        <v>0.8</v>
      </c>
      <c r="G33" t="n">
        <v>64</v>
      </c>
      <c r="H33" t="n">
        <v>4</v>
      </c>
      <c r="I33" t="n">
        <v>3</v>
      </c>
      <c r="L33">
        <f>IFERROR((J33-K33)/K33,"")</f>
        <v/>
      </c>
      <c r="M33">
        <f>IF(J33="","",IF(J33&gt;=8,"NG","OK"))</f>
        <v/>
      </c>
      <c r="N33">
        <f>IF(K33="","",IF(K33&gt;=8,"NG","OK"))</f>
        <v/>
      </c>
      <c r="O33">
        <f>IF(OR(J33="",K33=""),"",IF(AND(N33="NG",M33="OK"),"FalseOK",IF(AND(N33="OK",M33="NG"),"FalseNG","-")))</f>
        <v/>
      </c>
      <c r="Q33" t="inlineStr"/>
    </row>
    <row r="34">
      <c r="A34" t="inlineStr">
        <is>
          <t>R1.5</t>
        </is>
      </c>
      <c r="B34" t="inlineStr">
        <is>
          <t>P1_R</t>
        </is>
      </c>
      <c r="C34" t="inlineStr">
        <is>
          <t>86µm</t>
        </is>
      </c>
      <c r="D34" t="n">
        <v>86</v>
      </c>
      <c r="E34" t="n">
        <v>60</v>
      </c>
      <c r="F34" t="n">
        <v>1.5</v>
      </c>
      <c r="G34" t="n">
        <v>64</v>
      </c>
      <c r="H34" t="n">
        <v>4</v>
      </c>
      <c r="I34" t="n">
        <v>1</v>
      </c>
      <c r="L34">
        <f>IFERROR((J34-K34)/K34,"")</f>
        <v/>
      </c>
      <c r="M34">
        <f>IF(J34="","",IF(J34&gt;=8,"NG","OK"))</f>
        <v/>
      </c>
      <c r="N34">
        <f>IF(K34="","",IF(K34&gt;=8,"NG","OK"))</f>
        <v/>
      </c>
      <c r="O34">
        <f>IF(OR(J34="",K34=""),"",IF(AND(N34="NG",M34="OK"),"FalseOK",IF(AND(N34="OK",M34="NG"),"FalseNG","-")))</f>
        <v/>
      </c>
      <c r="Q34" t="inlineStr">
        <is>
          <t>R=1.5 — void 픽셀화(2/N8) [권장]</t>
        </is>
      </c>
      <c r="R34">
        <f>IFERROR(STDEV(J34:J36)/AVERAGE(J34:J36),"")</f>
        <v/>
      </c>
    </row>
    <row r="35">
      <c r="A35" t="inlineStr">
        <is>
          <t>R1.5</t>
        </is>
      </c>
      <c r="B35" t="inlineStr">
        <is>
          <t>P1_R</t>
        </is>
      </c>
      <c r="C35" t="inlineStr">
        <is>
          <t>86µm</t>
        </is>
      </c>
      <c r="D35" t="n">
        <v>86</v>
      </c>
      <c r="E35" t="n">
        <v>60</v>
      </c>
      <c r="F35" t="n">
        <v>1.5</v>
      </c>
      <c r="G35" t="n">
        <v>64</v>
      </c>
      <c r="H35" t="n">
        <v>4</v>
      </c>
      <c r="I35" t="n">
        <v>2</v>
      </c>
      <c r="L35">
        <f>IFERROR((J35-K35)/K35,"")</f>
        <v/>
      </c>
      <c r="M35">
        <f>IF(J35="","",IF(J35&gt;=8,"NG","OK"))</f>
        <v/>
      </c>
      <c r="N35">
        <f>IF(K35="","",IF(K35&gt;=8,"NG","OK"))</f>
        <v/>
      </c>
      <c r="O35">
        <f>IF(OR(J35="",K35=""),"",IF(AND(N35="NG",M35="OK"),"FalseOK",IF(AND(N35="OK",M35="NG"),"FalseNG","-")))</f>
        <v/>
      </c>
      <c r="Q35" t="inlineStr"/>
    </row>
    <row r="36">
      <c r="A36" t="inlineStr">
        <is>
          <t>R1.5</t>
        </is>
      </c>
      <c r="B36" t="inlineStr">
        <is>
          <t>P1_R</t>
        </is>
      </c>
      <c r="C36" t="inlineStr">
        <is>
          <t>86µm</t>
        </is>
      </c>
      <c r="D36" t="n">
        <v>86</v>
      </c>
      <c r="E36" t="n">
        <v>60</v>
      </c>
      <c r="F36" t="n">
        <v>1.5</v>
      </c>
      <c r="G36" t="n">
        <v>64</v>
      </c>
      <c r="H36" t="n">
        <v>4</v>
      </c>
      <c r="I36" t="n">
        <v>3</v>
      </c>
      <c r="L36">
        <f>IFERROR((J36-K36)/K36,"")</f>
        <v/>
      </c>
      <c r="M36">
        <f>IF(J36="","",IF(J36&gt;=8,"NG","OK"))</f>
        <v/>
      </c>
      <c r="N36">
        <f>IF(K36="","",IF(K36&gt;=8,"NG","OK"))</f>
        <v/>
      </c>
      <c r="O36">
        <f>IF(OR(J36="",K36=""),"",IF(AND(N36="NG",M36="OK"),"FalseOK",IF(AND(N36="OK",M36="NG"),"FalseNG","-")))</f>
        <v/>
      </c>
      <c r="Q36" t="inlineStr"/>
    </row>
    <row r="37">
      <c r="A37" t="inlineStr">
        <is>
          <t>kV58</t>
        </is>
      </c>
      <c r="B37" t="inlineStr">
        <is>
          <t>P1_kV</t>
        </is>
      </c>
      <c r="C37" t="inlineStr">
        <is>
          <t>86µm</t>
        </is>
      </c>
      <c r="D37" t="n">
        <v>86</v>
      </c>
      <c r="E37" t="n">
        <v>58</v>
      </c>
      <c r="F37" t="n">
        <v>0.8</v>
      </c>
      <c r="G37" t="n">
        <v>64</v>
      </c>
      <c r="H37" t="n">
        <v>4</v>
      </c>
      <c r="I37" t="n">
        <v>1</v>
      </c>
      <c r="L37">
        <f>IFERROR((J37-K37)/K37,"")</f>
        <v/>
      </c>
      <c r="M37">
        <f>IF(J37="","",IF(J37&gt;=8,"NG","OK"))</f>
        <v/>
      </c>
      <c r="N37">
        <f>IF(K37="","",IF(K37&gt;=8,"NG","OK"))</f>
        <v/>
      </c>
      <c r="O37">
        <f>IF(OR(J37="",K37=""),"",IF(AND(N37="NG",M37="OK"),"FalseOK",IF(AND(N37="OK",M37="NG"),"FalseNG","-")))</f>
        <v/>
      </c>
      <c r="Q37" t="inlineStr">
        <is>
          <t>kV=58 — void 대비 [권장]</t>
        </is>
      </c>
      <c r="R37">
        <f>IFERROR(STDEV(J37:J38)/AVERAGE(J37:J38),"")</f>
        <v/>
      </c>
    </row>
    <row r="38">
      <c r="A38" t="inlineStr">
        <is>
          <t>kV58</t>
        </is>
      </c>
      <c r="B38" t="inlineStr">
        <is>
          <t>P1_kV</t>
        </is>
      </c>
      <c r="C38" t="inlineStr">
        <is>
          <t>86µm</t>
        </is>
      </c>
      <c r="D38" t="n">
        <v>86</v>
      </c>
      <c r="E38" t="n">
        <v>58</v>
      </c>
      <c r="F38" t="n">
        <v>0.8</v>
      </c>
      <c r="G38" t="n">
        <v>64</v>
      </c>
      <c r="H38" t="n">
        <v>4</v>
      </c>
      <c r="I38" t="n">
        <v>2</v>
      </c>
      <c r="L38">
        <f>IFERROR((J38-K38)/K38,"")</f>
        <v/>
      </c>
      <c r="M38">
        <f>IF(J38="","",IF(J38&gt;=8,"NG","OK"))</f>
        <v/>
      </c>
      <c r="N38">
        <f>IF(K38="","",IF(K38&gt;=8,"NG","OK"))</f>
        <v/>
      </c>
      <c r="O38">
        <f>IF(OR(J38="",K38=""),"",IF(AND(N38="NG",M38="OK"),"FalseOK",IF(AND(N38="OK",M38="NG"),"FalseNG","-")))</f>
        <v/>
      </c>
      <c r="Q38" t="inlineStr"/>
    </row>
    <row r="39">
      <c r="A39" t="inlineStr">
        <is>
          <t>kV62</t>
        </is>
      </c>
      <c r="B39" t="inlineStr">
        <is>
          <t>P1_kV</t>
        </is>
      </c>
      <c r="C39" t="inlineStr">
        <is>
          <t>86µm</t>
        </is>
      </c>
      <c r="D39" t="n">
        <v>86</v>
      </c>
      <c r="E39" t="n">
        <v>62</v>
      </c>
      <c r="F39" t="n">
        <v>0.8</v>
      </c>
      <c r="G39" t="n">
        <v>64</v>
      </c>
      <c r="H39" t="n">
        <v>4</v>
      </c>
      <c r="I39" t="n">
        <v>1</v>
      </c>
      <c r="L39">
        <f>IFERROR((J39-K39)/K39,"")</f>
        <v/>
      </c>
      <c r="M39">
        <f>IF(J39="","",IF(J39&gt;=8,"NG","OK"))</f>
        <v/>
      </c>
      <c r="N39">
        <f>IF(K39="","",IF(K39&gt;=8,"NG","OK"))</f>
        <v/>
      </c>
      <c r="O39">
        <f>IF(OR(J39="",K39=""),"",IF(AND(N39="NG",M39="OK"),"FalseOK",IF(AND(N39="OK",M39="NG"),"FalseNG","-")))</f>
        <v/>
      </c>
      <c r="Q39" t="inlineStr">
        <is>
          <t>kV=62 — void 대비 [권장]</t>
        </is>
      </c>
      <c r="R39">
        <f>IFERROR(STDEV(J39:J40)/AVERAGE(J39:J40),"")</f>
        <v/>
      </c>
    </row>
    <row r="40">
      <c r="A40" t="inlineStr">
        <is>
          <t>kV62</t>
        </is>
      </c>
      <c r="B40" t="inlineStr">
        <is>
          <t>P1_kV</t>
        </is>
      </c>
      <c r="C40" t="inlineStr">
        <is>
          <t>86µm</t>
        </is>
      </c>
      <c r="D40" t="n">
        <v>86</v>
      </c>
      <c r="E40" t="n">
        <v>62</v>
      </c>
      <c r="F40" t="n">
        <v>0.8</v>
      </c>
      <c r="G40" t="n">
        <v>64</v>
      </c>
      <c r="H40" t="n">
        <v>4</v>
      </c>
      <c r="I40" t="n">
        <v>2</v>
      </c>
      <c r="L40">
        <f>IFERROR((J40-K40)/K40,"")</f>
        <v/>
      </c>
      <c r="M40">
        <f>IF(J40="","",IF(J40&gt;=8,"NG","OK"))</f>
        <v/>
      </c>
      <c r="N40">
        <f>IF(K40="","",IF(K40&gt;=8,"NG","OK"))</f>
        <v/>
      </c>
      <c r="O40">
        <f>IF(OR(J40="",K40=""),"",IF(AND(N40="NG",M40="OK"),"FalseOK",IF(AND(N40="OK",M40="NG"),"FalseNG","-")))</f>
        <v/>
      </c>
      <c r="Q40" t="inlineStr"/>
    </row>
    <row r="41">
      <c r="A41" t="inlineStr">
        <is>
          <t>W4F32</t>
        </is>
      </c>
      <c r="B41" t="inlineStr">
        <is>
          <t>P2_WxF</t>
        </is>
      </c>
      <c r="C41" t="inlineStr">
        <is>
          <t>86µm</t>
        </is>
      </c>
      <c r="D41" t="n">
        <v>86</v>
      </c>
      <c r="E41" t="n">
        <v>60</v>
      </c>
      <c r="F41" t="n">
        <v>0.8</v>
      </c>
      <c r="G41" t="n">
        <v>32</v>
      </c>
      <c r="H41" t="n">
        <v>4</v>
      </c>
      <c r="I41" t="n">
        <v>1</v>
      </c>
      <c r="L41">
        <f>IFERROR((J41-K41)/K41,"")</f>
        <v/>
      </c>
      <c r="M41">
        <f>IF(J41="","",IF(J41&gt;=8,"NG","OK"))</f>
        <v/>
      </c>
      <c r="N41">
        <f>IF(K41="","",IF(K41&gt;=8,"NG","OK"))</f>
        <v/>
      </c>
      <c r="O41">
        <f>IF(OR(J41="",K41=""),"",IF(AND(N41="NG",M41="OK"),"FalseOK",IF(AND(N41="OK",M41="NG"),"FalseNG","-")))</f>
        <v/>
      </c>
      <c r="Q41" t="inlineStr">
        <is>
          <t>W4×F32 — 내부 SNR 교환 [권장]</t>
        </is>
      </c>
      <c r="R41">
        <f>IFERROR(STDEV(J41:J42)/AVERAGE(J41:J42),"")</f>
        <v/>
      </c>
    </row>
    <row r="42">
      <c r="A42" t="inlineStr">
        <is>
          <t>W4F32</t>
        </is>
      </c>
      <c r="B42" t="inlineStr">
        <is>
          <t>P2_WxF</t>
        </is>
      </c>
      <c r="C42" t="inlineStr">
        <is>
          <t>86µm</t>
        </is>
      </c>
      <c r="D42" t="n">
        <v>86</v>
      </c>
      <c r="E42" t="n">
        <v>60</v>
      </c>
      <c r="F42" t="n">
        <v>0.8</v>
      </c>
      <c r="G42" t="n">
        <v>32</v>
      </c>
      <c r="H42" t="n">
        <v>4</v>
      </c>
      <c r="I42" t="n">
        <v>2</v>
      </c>
      <c r="L42">
        <f>IFERROR((J42-K42)/K42,"")</f>
        <v/>
      </c>
      <c r="M42">
        <f>IF(J42="","",IF(J42&gt;=8,"NG","OK"))</f>
        <v/>
      </c>
      <c r="N42">
        <f>IF(K42="","",IF(K42&gt;=8,"NG","OK"))</f>
        <v/>
      </c>
      <c r="O42">
        <f>IF(OR(J42="",K42=""),"",IF(AND(N42="NG",M42="OK"),"FalseOK",IF(AND(N42="OK",M42="NG"),"FalseNG","-")))</f>
        <v/>
      </c>
      <c r="Q42" t="inlineStr"/>
    </row>
    <row r="43">
      <c r="A43" t="inlineStr">
        <is>
          <t>W4F128</t>
        </is>
      </c>
      <c r="B43" t="inlineStr">
        <is>
          <t>P2_WxF</t>
        </is>
      </c>
      <c r="C43" t="inlineStr">
        <is>
          <t>86µm</t>
        </is>
      </c>
      <c r="D43" t="n">
        <v>86</v>
      </c>
      <c r="E43" t="n">
        <v>60</v>
      </c>
      <c r="F43" t="n">
        <v>0.8</v>
      </c>
      <c r="G43" t="n">
        <v>128</v>
      </c>
      <c r="H43" t="n">
        <v>4</v>
      </c>
      <c r="I43" t="n">
        <v>1</v>
      </c>
      <c r="L43">
        <f>IFERROR((J43-K43)/K43,"")</f>
        <v/>
      </c>
      <c r="M43">
        <f>IF(J43="","",IF(J43&gt;=8,"NG","OK"))</f>
        <v/>
      </c>
      <c r="N43">
        <f>IF(K43="","",IF(K43&gt;=8,"NG","OK"))</f>
        <v/>
      </c>
      <c r="O43">
        <f>IF(OR(J43="",K43=""),"",IF(AND(N43="NG",M43="OK"),"FalseOK",IF(AND(N43="OK",M43="NG"),"FalseNG","-")))</f>
        <v/>
      </c>
      <c r="Q43" t="inlineStr">
        <is>
          <t>W4×F128 — 내부 SNR 교환 [권장]</t>
        </is>
      </c>
      <c r="R43">
        <f>IFERROR(STDEV(J43:J44)/AVERAGE(J43:J44),"")</f>
        <v/>
      </c>
    </row>
    <row r="44">
      <c r="A44" t="inlineStr">
        <is>
          <t>W4F128</t>
        </is>
      </c>
      <c r="B44" t="inlineStr">
        <is>
          <t>P2_WxF</t>
        </is>
      </c>
      <c r="C44" t="inlineStr">
        <is>
          <t>86µm</t>
        </is>
      </c>
      <c r="D44" t="n">
        <v>86</v>
      </c>
      <c r="E44" t="n">
        <v>60</v>
      </c>
      <c r="F44" t="n">
        <v>0.8</v>
      </c>
      <c r="G44" t="n">
        <v>128</v>
      </c>
      <c r="H44" t="n">
        <v>4</v>
      </c>
      <c r="I44" t="n">
        <v>2</v>
      </c>
      <c r="L44">
        <f>IFERROR((J44-K44)/K44,"")</f>
        <v/>
      </c>
      <c r="M44">
        <f>IF(J44="","",IF(J44&gt;=8,"NG","OK"))</f>
        <v/>
      </c>
      <c r="N44">
        <f>IF(K44="","",IF(K44&gt;=8,"NG","OK"))</f>
        <v/>
      </c>
      <c r="O44">
        <f>IF(OR(J44="",K44=""),"",IF(AND(N44="NG",M44="OK"),"FalseOK",IF(AND(N44="OK",M44="NG"),"FalseNG","-")))</f>
        <v/>
      </c>
      <c r="Q44" t="inlineStr"/>
    </row>
    <row r="45">
      <c r="A45" t="inlineStr">
        <is>
          <t>W8F32</t>
        </is>
      </c>
      <c r="B45" t="inlineStr">
        <is>
          <t>P2_WxF</t>
        </is>
      </c>
      <c r="C45" t="inlineStr">
        <is>
          <t>86µm</t>
        </is>
      </c>
      <c r="D45" t="n">
        <v>86</v>
      </c>
      <c r="E45" t="n">
        <v>60</v>
      </c>
      <c r="F45" t="n">
        <v>0.8</v>
      </c>
      <c r="G45" t="n">
        <v>32</v>
      </c>
      <c r="H45" t="n">
        <v>8</v>
      </c>
      <c r="I45" t="n">
        <v>1</v>
      </c>
      <c r="L45">
        <f>IFERROR((J45-K45)/K45,"")</f>
        <v/>
      </c>
      <c r="M45">
        <f>IF(J45="","",IF(J45&gt;=8,"NG","OK"))</f>
        <v/>
      </c>
      <c r="N45">
        <f>IF(K45="","",IF(K45&gt;=8,"NG","OK"))</f>
        <v/>
      </c>
      <c r="O45">
        <f>IF(OR(J45="",K45=""),"",IF(AND(N45="NG",M45="OK"),"FalseOK",IF(AND(N45="OK",M45="NG"),"FalseNG","-")))</f>
        <v/>
      </c>
      <c r="Q45" t="inlineStr">
        <is>
          <t>W8×F32 — 내부 SNR 교환 [권장]</t>
        </is>
      </c>
      <c r="R45">
        <f>IFERROR(STDEV(J45:J46)/AVERAGE(J45:J46),"")</f>
        <v/>
      </c>
    </row>
    <row r="46">
      <c r="A46" t="inlineStr">
        <is>
          <t>W8F32</t>
        </is>
      </c>
      <c r="B46" t="inlineStr">
        <is>
          <t>P2_WxF</t>
        </is>
      </c>
      <c r="C46" t="inlineStr">
        <is>
          <t>86µm</t>
        </is>
      </c>
      <c r="D46" t="n">
        <v>86</v>
      </c>
      <c r="E46" t="n">
        <v>60</v>
      </c>
      <c r="F46" t="n">
        <v>0.8</v>
      </c>
      <c r="G46" t="n">
        <v>32</v>
      </c>
      <c r="H46" t="n">
        <v>8</v>
      </c>
      <c r="I46" t="n">
        <v>2</v>
      </c>
      <c r="L46">
        <f>IFERROR((J46-K46)/K46,"")</f>
        <v/>
      </c>
      <c r="M46">
        <f>IF(J46="","",IF(J46&gt;=8,"NG","OK"))</f>
        <v/>
      </c>
      <c r="N46">
        <f>IF(K46="","",IF(K46&gt;=8,"NG","OK"))</f>
        <v/>
      </c>
      <c r="O46">
        <f>IF(OR(J46="",K46=""),"",IF(AND(N46="NG",M46="OK"),"FalseOK",IF(AND(N46="OK",M46="NG"),"FalseNG","-")))</f>
        <v/>
      </c>
      <c r="Q46" t="inlineStr"/>
    </row>
    <row r="47">
      <c r="A47" t="inlineStr">
        <is>
          <t>W8F128</t>
        </is>
      </c>
      <c r="B47" t="inlineStr">
        <is>
          <t>P2_WxF</t>
        </is>
      </c>
      <c r="C47" t="inlineStr">
        <is>
          <t>86µm</t>
        </is>
      </c>
      <c r="D47" t="n">
        <v>86</v>
      </c>
      <c r="E47" t="n">
        <v>60</v>
      </c>
      <c r="F47" t="n">
        <v>0.8</v>
      </c>
      <c r="G47" t="n">
        <v>128</v>
      </c>
      <c r="H47" t="n">
        <v>8</v>
      </c>
      <c r="I47" t="n">
        <v>1</v>
      </c>
      <c r="L47">
        <f>IFERROR((J47-K47)/K47,"")</f>
        <v/>
      </c>
      <c r="M47">
        <f>IF(J47="","",IF(J47&gt;=8,"NG","OK"))</f>
        <v/>
      </c>
      <c r="N47">
        <f>IF(K47="","",IF(K47&gt;=8,"NG","OK"))</f>
        <v/>
      </c>
      <c r="O47">
        <f>IF(OR(J47="",K47=""),"",IF(AND(N47="NG",M47="OK"),"FalseOK",IF(AND(N47="OK",M47="NG"),"FalseNG","-")))</f>
        <v/>
      </c>
      <c r="Q47" t="inlineStr">
        <is>
          <t>W8×F128 — 내부 SNR 교환 [권장]</t>
        </is>
      </c>
      <c r="R47">
        <f>IFERROR(STDEV(J47:J48)/AVERAGE(J47:J48),"")</f>
        <v/>
      </c>
    </row>
    <row r="48">
      <c r="A48" t="inlineStr">
        <is>
          <t>W8F128</t>
        </is>
      </c>
      <c r="B48" t="inlineStr">
        <is>
          <t>P2_WxF</t>
        </is>
      </c>
      <c r="C48" t="inlineStr">
        <is>
          <t>86µm</t>
        </is>
      </c>
      <c r="D48" t="n">
        <v>86</v>
      </c>
      <c r="E48" t="n">
        <v>60</v>
      </c>
      <c r="F48" t="n">
        <v>0.8</v>
      </c>
      <c r="G48" t="n">
        <v>128</v>
      </c>
      <c r="H48" t="n">
        <v>8</v>
      </c>
      <c r="I48" t="n">
        <v>2</v>
      </c>
      <c r="L48">
        <f>IFERROR((J48-K48)/K48,"")</f>
        <v/>
      </c>
      <c r="M48">
        <f>IF(J48="","",IF(J48&gt;=8,"NG","OK"))</f>
        <v/>
      </c>
      <c r="N48">
        <f>IF(K48="","",IF(K48&gt;=8,"NG","OK"))</f>
        <v/>
      </c>
      <c r="O48">
        <f>IF(OR(J48="",K48=""),"",IF(AND(N48="NG",M48="OK"),"FalseOK",IF(AND(N48="OK",M48="NG"),"FalseNG","-")))</f>
        <v/>
      </c>
      <c r="Q48" t="inlineStr"/>
    </row>
    <row r="49">
      <c r="A49" t="inlineStr">
        <is>
          <t>R0.4F32</t>
        </is>
      </c>
      <c r="B49" t="inlineStr">
        <is>
          <t>P2_RxF</t>
        </is>
      </c>
      <c r="C49" t="inlineStr">
        <is>
          <t>86µm</t>
        </is>
      </c>
      <c r="D49" t="n">
        <v>86</v>
      </c>
      <c r="E49" t="n">
        <v>60</v>
      </c>
      <c r="F49" t="n">
        <v>0.4</v>
      </c>
      <c r="G49" t="n">
        <v>32</v>
      </c>
      <c r="H49" t="n">
        <v>4</v>
      </c>
      <c r="I49" t="n">
        <v>1</v>
      </c>
      <c r="L49">
        <f>IFERROR((J49-K49)/K49,"")</f>
        <v/>
      </c>
      <c r="M49">
        <f>IF(J49="","",IF(J49&gt;=8,"NG","OK"))</f>
        <v/>
      </c>
      <c r="N49">
        <f>IF(K49="","",IF(K49&gt;=8,"NG","OK"))</f>
        <v/>
      </c>
      <c r="O49">
        <f>IF(OR(J49="",K49=""),"",IF(AND(N49="NG",M49="OK"),"FalseOK",IF(AND(N49="OK",M49="NG"),"FalseNG","-")))</f>
        <v/>
      </c>
      <c r="Q49" t="inlineStr">
        <is>
          <t>R0.4×F32 — 픽셀화×노이즈, R하한 겸 [권장]</t>
        </is>
      </c>
      <c r="R49">
        <f>IFERROR(STDEV(J49:J50)/AVERAGE(J49:J50),"")</f>
        <v/>
      </c>
    </row>
    <row r="50">
      <c r="A50" t="inlineStr">
        <is>
          <t>R0.4F32</t>
        </is>
      </c>
      <c r="B50" t="inlineStr">
        <is>
          <t>P2_RxF</t>
        </is>
      </c>
      <c r="C50" t="inlineStr">
        <is>
          <t>86µm</t>
        </is>
      </c>
      <c r="D50" t="n">
        <v>86</v>
      </c>
      <c r="E50" t="n">
        <v>60</v>
      </c>
      <c r="F50" t="n">
        <v>0.4</v>
      </c>
      <c r="G50" t="n">
        <v>32</v>
      </c>
      <c r="H50" t="n">
        <v>4</v>
      </c>
      <c r="I50" t="n">
        <v>2</v>
      </c>
      <c r="L50">
        <f>IFERROR((J50-K50)/K50,"")</f>
        <v/>
      </c>
      <c r="M50">
        <f>IF(J50="","",IF(J50&gt;=8,"NG","OK"))</f>
        <v/>
      </c>
      <c r="N50">
        <f>IF(K50="","",IF(K50&gt;=8,"NG","OK"))</f>
        <v/>
      </c>
      <c r="O50">
        <f>IF(OR(J50="",K50=""),"",IF(AND(N50="NG",M50="OK"),"FalseOK",IF(AND(N50="OK",M50="NG"),"FalseNG","-")))</f>
        <v/>
      </c>
      <c r="Q50" t="inlineStr"/>
    </row>
    <row r="51">
      <c r="A51" t="inlineStr">
        <is>
          <t>R0.4F128</t>
        </is>
      </c>
      <c r="B51" t="inlineStr">
        <is>
          <t>P2_RxF</t>
        </is>
      </c>
      <c r="C51" t="inlineStr">
        <is>
          <t>86µm</t>
        </is>
      </c>
      <c r="D51" t="n">
        <v>86</v>
      </c>
      <c r="E51" t="n">
        <v>60</v>
      </c>
      <c r="F51" t="n">
        <v>0.4</v>
      </c>
      <c r="G51" t="n">
        <v>128</v>
      </c>
      <c r="H51" t="n">
        <v>4</v>
      </c>
      <c r="I51" t="n">
        <v>1</v>
      </c>
      <c r="L51">
        <f>IFERROR((J51-K51)/K51,"")</f>
        <v/>
      </c>
      <c r="M51">
        <f>IF(J51="","",IF(J51&gt;=8,"NG","OK"))</f>
        <v/>
      </c>
      <c r="N51">
        <f>IF(K51="","",IF(K51&gt;=8,"NG","OK"))</f>
        <v/>
      </c>
      <c r="O51">
        <f>IF(OR(J51="",K51=""),"",IF(AND(N51="NG",M51="OK"),"FalseOK",IF(AND(N51="OK",M51="NG"),"FalseNG","-")))</f>
        <v/>
      </c>
      <c r="Q51" t="inlineStr">
        <is>
          <t>R0.4×F128 — 픽셀화×노이즈, R하한 겸 [권장]</t>
        </is>
      </c>
      <c r="R51">
        <f>IFERROR(STDEV(J51:J52)/AVERAGE(J51:J52),"")</f>
        <v/>
      </c>
    </row>
    <row r="52">
      <c r="A52" t="inlineStr">
        <is>
          <t>R0.4F128</t>
        </is>
      </c>
      <c r="B52" t="inlineStr">
        <is>
          <t>P2_RxF</t>
        </is>
      </c>
      <c r="C52" t="inlineStr">
        <is>
          <t>86µm</t>
        </is>
      </c>
      <c r="D52" t="n">
        <v>86</v>
      </c>
      <c r="E52" t="n">
        <v>60</v>
      </c>
      <c r="F52" t="n">
        <v>0.4</v>
      </c>
      <c r="G52" t="n">
        <v>128</v>
      </c>
      <c r="H52" t="n">
        <v>4</v>
      </c>
      <c r="I52" t="n">
        <v>2</v>
      </c>
      <c r="L52">
        <f>IFERROR((J52-K52)/K52,"")</f>
        <v/>
      </c>
      <c r="M52">
        <f>IF(J52="","",IF(J52&gt;=8,"NG","OK"))</f>
        <v/>
      </c>
      <c r="N52">
        <f>IF(K52="","",IF(K52&gt;=8,"NG","OK"))</f>
        <v/>
      </c>
      <c r="O52">
        <f>IF(OR(J52="",K52=""),"",IF(AND(N52="NG",M52="OK"),"FalseOK",IF(AND(N52="OK",M52="NG"),"FalseNG","-")))</f>
        <v/>
      </c>
      <c r="Q52" t="inlineStr"/>
    </row>
    <row r="53">
      <c r="A53" t="inlineStr">
        <is>
          <t>R0.8F32</t>
        </is>
      </c>
      <c r="B53" t="inlineStr">
        <is>
          <t>P2_RxF</t>
        </is>
      </c>
      <c r="C53" t="inlineStr">
        <is>
          <t>86µm</t>
        </is>
      </c>
      <c r="D53" t="n">
        <v>86</v>
      </c>
      <c r="E53" t="n">
        <v>60</v>
      </c>
      <c r="F53" t="n">
        <v>0.8</v>
      </c>
      <c r="G53" t="n">
        <v>32</v>
      </c>
      <c r="H53" t="n">
        <v>4</v>
      </c>
      <c r="I53" t="n">
        <v>1</v>
      </c>
      <c r="L53">
        <f>IFERROR((J53-K53)/K53,"")</f>
        <v/>
      </c>
      <c r="M53">
        <f>IF(J53="","",IF(J53&gt;=8,"NG","OK"))</f>
        <v/>
      </c>
      <c r="N53">
        <f>IF(K53="","",IF(K53&gt;=8,"NG","OK"))</f>
        <v/>
      </c>
      <c r="O53">
        <f>IF(OR(J53="",K53=""),"",IF(AND(N53="NG",M53="OK"),"FalseOK",IF(AND(N53="OK",M53="NG"),"FalseNG","-")))</f>
        <v/>
      </c>
      <c r="Q53" t="inlineStr">
        <is>
          <t>R0.8×F32 — 픽셀화×노이즈, R하한 겸 [권장]</t>
        </is>
      </c>
      <c r="R53">
        <f>IFERROR(STDEV(J53:J54)/AVERAGE(J53:J54),"")</f>
        <v/>
      </c>
    </row>
    <row r="54">
      <c r="A54" t="inlineStr">
        <is>
          <t>R0.8F32</t>
        </is>
      </c>
      <c r="B54" t="inlineStr">
        <is>
          <t>P2_RxF</t>
        </is>
      </c>
      <c r="C54" t="inlineStr">
        <is>
          <t>86µm</t>
        </is>
      </c>
      <c r="D54" t="n">
        <v>86</v>
      </c>
      <c r="E54" t="n">
        <v>60</v>
      </c>
      <c r="F54" t="n">
        <v>0.8</v>
      </c>
      <c r="G54" t="n">
        <v>32</v>
      </c>
      <c r="H54" t="n">
        <v>4</v>
      </c>
      <c r="I54" t="n">
        <v>2</v>
      </c>
      <c r="L54">
        <f>IFERROR((J54-K54)/K54,"")</f>
        <v/>
      </c>
      <c r="M54">
        <f>IF(J54="","",IF(J54&gt;=8,"NG","OK"))</f>
        <v/>
      </c>
      <c r="N54">
        <f>IF(K54="","",IF(K54&gt;=8,"NG","OK"))</f>
        <v/>
      </c>
      <c r="O54">
        <f>IF(OR(J54="",K54=""),"",IF(AND(N54="NG",M54="OK"),"FalseOK",IF(AND(N54="OK",M54="NG"),"FalseNG","-")))</f>
        <v/>
      </c>
      <c r="Q54" t="inlineStr"/>
    </row>
    <row r="55">
      <c r="A55" t="inlineStr">
        <is>
          <t>R0.8F128</t>
        </is>
      </c>
      <c r="B55" t="inlineStr">
        <is>
          <t>P2_RxF</t>
        </is>
      </c>
      <c r="C55" t="inlineStr">
        <is>
          <t>86µm</t>
        </is>
      </c>
      <c r="D55" t="n">
        <v>86</v>
      </c>
      <c r="E55" t="n">
        <v>60</v>
      </c>
      <c r="F55" t="n">
        <v>0.8</v>
      </c>
      <c r="G55" t="n">
        <v>128</v>
      </c>
      <c r="H55" t="n">
        <v>4</v>
      </c>
      <c r="I55" t="n">
        <v>1</v>
      </c>
      <c r="L55">
        <f>IFERROR((J55-K55)/K55,"")</f>
        <v/>
      </c>
      <c r="M55">
        <f>IF(J55="","",IF(J55&gt;=8,"NG","OK"))</f>
        <v/>
      </c>
      <c r="N55">
        <f>IF(K55="","",IF(K55&gt;=8,"NG","OK"))</f>
        <v/>
      </c>
      <c r="O55">
        <f>IF(OR(J55="",K55=""),"",IF(AND(N55="NG",M55="OK"),"FalseOK",IF(AND(N55="OK",M55="NG"),"FalseNG","-")))</f>
        <v/>
      </c>
      <c r="Q55" t="inlineStr">
        <is>
          <t>R0.8×F128 — 픽셀화×노이즈, R하한 겸 [권장]</t>
        </is>
      </c>
      <c r="R55">
        <f>IFERROR(STDEV(J55:J56)/AVERAGE(J55:J56),"")</f>
        <v/>
      </c>
    </row>
    <row r="56">
      <c r="A56" t="inlineStr">
        <is>
          <t>R0.8F128</t>
        </is>
      </c>
      <c r="B56" t="inlineStr">
        <is>
          <t>P2_RxF</t>
        </is>
      </c>
      <c r="C56" t="inlineStr">
        <is>
          <t>86µm</t>
        </is>
      </c>
      <c r="D56" t="n">
        <v>86</v>
      </c>
      <c r="E56" t="n">
        <v>60</v>
      </c>
      <c r="F56" t="n">
        <v>0.8</v>
      </c>
      <c r="G56" t="n">
        <v>128</v>
      </c>
      <c r="H56" t="n">
        <v>4</v>
      </c>
      <c r="I56" t="n">
        <v>2</v>
      </c>
      <c r="L56">
        <f>IFERROR((J56-K56)/K56,"")</f>
        <v/>
      </c>
      <c r="M56">
        <f>IF(J56="","",IF(J56&gt;=8,"NG","OK"))</f>
        <v/>
      </c>
      <c r="N56">
        <f>IF(K56="","",IF(K56&gt;=8,"NG","OK"))</f>
        <v/>
      </c>
      <c r="O56">
        <f>IF(OR(J56="",K56=""),"",IF(AND(N56="NG",M56="OK"),"FalseOK",IF(AND(N56="OK",M56="NG"),"FalseNG","-")))</f>
        <v/>
      </c>
      <c r="Q56" t="inlineStr"/>
    </row>
    <row r="57">
      <c r="A57" t="inlineStr">
        <is>
          <t>kV58W4</t>
        </is>
      </c>
      <c r="B57" t="inlineStr">
        <is>
          <t>P2_kVxW</t>
        </is>
      </c>
      <c r="C57" t="inlineStr">
        <is>
          <t>86µm</t>
        </is>
      </c>
      <c r="D57" t="n">
        <v>86</v>
      </c>
      <c r="E57" t="n">
        <v>58</v>
      </c>
      <c r="F57" t="n">
        <v>0.8</v>
      </c>
      <c r="G57" t="n">
        <v>64</v>
      </c>
      <c r="H57" t="n">
        <v>4</v>
      </c>
      <c r="I57" t="n">
        <v>1</v>
      </c>
      <c r="L57">
        <f>IFERROR((J57-K57)/K57,"")</f>
        <v/>
      </c>
      <c r="M57">
        <f>IF(J57="","",IF(J57&gt;=8,"NG","OK"))</f>
        <v/>
      </c>
      <c r="N57">
        <f>IF(K57="","",IF(K57&gt;=8,"NG","OK"))</f>
        <v/>
      </c>
      <c r="O57">
        <f>IF(OR(J57="",K57=""),"",IF(AND(N57="NG",M57="OK"),"FalseOK",IF(AND(N57="OK",M57="NG"),"FalseNG","-")))</f>
        <v/>
      </c>
      <c r="Q57" t="inlineStr">
        <is>
          <t>kV58×W4 — 투과×밝기 [선택]</t>
        </is>
      </c>
    </row>
    <row r="58">
      <c r="A58" t="inlineStr">
        <is>
          <t>kV58W8</t>
        </is>
      </c>
      <c r="B58" t="inlineStr">
        <is>
          <t>P2_kVxW</t>
        </is>
      </c>
      <c r="C58" t="inlineStr">
        <is>
          <t>86µm</t>
        </is>
      </c>
      <c r="D58" t="n">
        <v>86</v>
      </c>
      <c r="E58" t="n">
        <v>58</v>
      </c>
      <c r="F58" t="n">
        <v>0.8</v>
      </c>
      <c r="G58" t="n">
        <v>64</v>
      </c>
      <c r="H58" t="n">
        <v>8</v>
      </c>
      <c r="I58" t="n">
        <v>1</v>
      </c>
      <c r="L58">
        <f>IFERROR((J58-K58)/K58,"")</f>
        <v/>
      </c>
      <c r="M58">
        <f>IF(J58="","",IF(J58&gt;=8,"NG","OK"))</f>
        <v/>
      </c>
      <c r="N58">
        <f>IF(K58="","",IF(K58&gt;=8,"NG","OK"))</f>
        <v/>
      </c>
      <c r="O58">
        <f>IF(OR(J58="",K58=""),"",IF(AND(N58="NG",M58="OK"),"FalseOK",IF(AND(N58="OK",M58="NG"),"FalseNG","-")))</f>
        <v/>
      </c>
      <c r="Q58" t="inlineStr">
        <is>
          <t>kV58×W8 — 투과×밝기 [선택]</t>
        </is>
      </c>
    </row>
    <row r="59">
      <c r="A59" t="inlineStr">
        <is>
          <t>kV62W4</t>
        </is>
      </c>
      <c r="B59" t="inlineStr">
        <is>
          <t>P2_kVxW</t>
        </is>
      </c>
      <c r="C59" t="inlineStr">
        <is>
          <t>86µm</t>
        </is>
      </c>
      <c r="D59" t="n">
        <v>86</v>
      </c>
      <c r="E59" t="n">
        <v>62</v>
      </c>
      <c r="F59" t="n">
        <v>0.8</v>
      </c>
      <c r="G59" t="n">
        <v>64</v>
      </c>
      <c r="H59" t="n">
        <v>4</v>
      </c>
      <c r="I59" t="n">
        <v>1</v>
      </c>
      <c r="L59">
        <f>IFERROR((J59-K59)/K59,"")</f>
        <v/>
      </c>
      <c r="M59">
        <f>IF(J59="","",IF(J59&gt;=8,"NG","OK"))</f>
        <v/>
      </c>
      <c r="N59">
        <f>IF(K59="","",IF(K59&gt;=8,"NG","OK"))</f>
        <v/>
      </c>
      <c r="O59">
        <f>IF(OR(J59="",K59=""),"",IF(AND(N59="NG",M59="OK"),"FalseOK",IF(AND(N59="OK",M59="NG"),"FalseNG","-")))</f>
        <v/>
      </c>
      <c r="Q59" t="inlineStr">
        <is>
          <t>kV62×W4 — 투과×밝기 [선택]</t>
        </is>
      </c>
    </row>
    <row r="60">
      <c r="A60" t="inlineStr">
        <is>
          <t>kV62W8</t>
        </is>
      </c>
      <c r="B60" t="inlineStr">
        <is>
          <t>P2_kVxW</t>
        </is>
      </c>
      <c r="C60" t="inlineStr">
        <is>
          <t>86µm</t>
        </is>
      </c>
      <c r="D60" t="n">
        <v>86</v>
      </c>
      <c r="E60" t="n">
        <v>62</v>
      </c>
      <c r="F60" t="n">
        <v>0.8</v>
      </c>
      <c r="G60" t="n">
        <v>64</v>
      </c>
      <c r="H60" t="n">
        <v>8</v>
      </c>
      <c r="I60" t="n">
        <v>1</v>
      </c>
      <c r="L60">
        <f>IFERROR((J60-K60)/K60,"")</f>
        <v/>
      </c>
      <c r="M60">
        <f>IF(J60="","",IF(J60&gt;=8,"NG","OK"))</f>
        <v/>
      </c>
      <c r="N60">
        <f>IF(K60="","",IF(K60&gt;=8,"NG","OK"))</f>
        <v/>
      </c>
      <c r="O60">
        <f>IF(OR(J60="",K60=""),"",IF(AND(N60="NG",M60="OK"),"FalseOK",IF(AND(N60="OK",M60="NG"),"FalseNG","-")))</f>
        <v/>
      </c>
      <c r="Q60" t="inlineStr">
        <is>
          <t>kV62×W8 — 투과×밝기 [선택]</t>
        </is>
      </c>
    </row>
    <row r="61">
      <c r="A61" t="inlineStr">
        <is>
          <t>C</t>
        </is>
      </c>
      <c r="B61" t="inlineStr">
        <is>
          <t>P3_확인</t>
        </is>
      </c>
      <c r="C61" t="inlineStr">
        <is>
          <t>86µm</t>
        </is>
      </c>
      <c r="D61" t="n">
        <v>86</v>
      </c>
      <c r="E61" t="n">
        <v>60</v>
      </c>
      <c r="F61" t="n">
        <v>0.8</v>
      </c>
      <c r="G61" t="n">
        <v>64</v>
      </c>
      <c r="H61" t="n">
        <v>4</v>
      </c>
      <c r="I61" t="n">
        <v>1</v>
      </c>
      <c r="L61">
        <f>IFERROR((J61-K61)/K61,"")</f>
        <v/>
      </c>
      <c r="M61">
        <f>IF(J61="","",IF(J61&gt;=8,"NG","OK"))</f>
        <v/>
      </c>
      <c r="N61">
        <f>IF(K61="","",IF(K61&gt;=8,"NG","OK"))</f>
        <v/>
      </c>
      <c r="O61">
        <f>IF(OR(J61="",K61=""),"",IF(AND(N61="NG",M61="OK"),"FalseOK",IF(AND(N61="OK",M61="NG"),"FalseNG","-")))</f>
        <v/>
      </c>
      <c r="Q61" t="inlineStr">
        <is>
          <t>모델 추천 조건 — False OK/NG 최종 [필수]</t>
        </is>
      </c>
      <c r="R61">
        <f>IFERROR(STDEV(J61:J65)/AVERAGE(J61:J65),"")</f>
        <v/>
      </c>
    </row>
    <row r="62">
      <c r="A62" t="inlineStr">
        <is>
          <t>C</t>
        </is>
      </c>
      <c r="B62" t="inlineStr">
        <is>
          <t>P3_확인</t>
        </is>
      </c>
      <c r="C62" t="inlineStr">
        <is>
          <t>86µm</t>
        </is>
      </c>
      <c r="D62" t="n">
        <v>86</v>
      </c>
      <c r="E62" t="n">
        <v>60</v>
      </c>
      <c r="F62" t="n">
        <v>0.8</v>
      </c>
      <c r="G62" t="n">
        <v>64</v>
      </c>
      <c r="H62" t="n">
        <v>4</v>
      </c>
      <c r="I62" t="n">
        <v>2</v>
      </c>
      <c r="L62">
        <f>IFERROR((J62-K62)/K62,"")</f>
        <v/>
      </c>
      <c r="M62">
        <f>IF(J62="","",IF(J62&gt;=8,"NG","OK"))</f>
        <v/>
      </c>
      <c r="N62">
        <f>IF(K62="","",IF(K62&gt;=8,"NG","OK"))</f>
        <v/>
      </c>
      <c r="O62">
        <f>IF(OR(J62="",K62=""),"",IF(AND(N62="NG",M62="OK"),"FalseOK",IF(AND(N62="OK",M62="NG"),"FalseNG","-")))</f>
        <v/>
      </c>
      <c r="Q62" t="inlineStr"/>
    </row>
    <row r="63">
      <c r="A63" t="inlineStr">
        <is>
          <t>C</t>
        </is>
      </c>
      <c r="B63" t="inlineStr">
        <is>
          <t>P3_확인</t>
        </is>
      </c>
      <c r="C63" t="inlineStr">
        <is>
          <t>86µm</t>
        </is>
      </c>
      <c r="D63" t="n">
        <v>86</v>
      </c>
      <c r="E63" t="n">
        <v>60</v>
      </c>
      <c r="F63" t="n">
        <v>0.8</v>
      </c>
      <c r="G63" t="n">
        <v>64</v>
      </c>
      <c r="H63" t="n">
        <v>4</v>
      </c>
      <c r="I63" t="n">
        <v>3</v>
      </c>
      <c r="L63">
        <f>IFERROR((J63-K63)/K63,"")</f>
        <v/>
      </c>
      <c r="M63">
        <f>IF(J63="","",IF(J63&gt;=8,"NG","OK"))</f>
        <v/>
      </c>
      <c r="N63">
        <f>IF(K63="","",IF(K63&gt;=8,"NG","OK"))</f>
        <v/>
      </c>
      <c r="O63">
        <f>IF(OR(J63="",K63=""),"",IF(AND(N63="NG",M63="OK"),"FalseOK",IF(AND(N63="OK",M63="NG"),"FalseNG","-")))</f>
        <v/>
      </c>
      <c r="Q63" t="inlineStr"/>
    </row>
    <row r="64">
      <c r="A64" t="inlineStr">
        <is>
          <t>C</t>
        </is>
      </c>
      <c r="B64" t="inlineStr">
        <is>
          <t>P3_확인</t>
        </is>
      </c>
      <c r="C64" t="inlineStr">
        <is>
          <t>86µm</t>
        </is>
      </c>
      <c r="D64" t="n">
        <v>86</v>
      </c>
      <c r="E64" t="n">
        <v>60</v>
      </c>
      <c r="F64" t="n">
        <v>0.8</v>
      </c>
      <c r="G64" t="n">
        <v>64</v>
      </c>
      <c r="H64" t="n">
        <v>4</v>
      </c>
      <c r="I64" t="n">
        <v>4</v>
      </c>
      <c r="L64">
        <f>IFERROR((J64-K64)/K64,"")</f>
        <v/>
      </c>
      <c r="M64">
        <f>IF(J64="","",IF(J64&gt;=8,"NG","OK"))</f>
        <v/>
      </c>
      <c r="N64">
        <f>IF(K64="","",IF(K64&gt;=8,"NG","OK"))</f>
        <v/>
      </c>
      <c r="O64">
        <f>IF(OR(J64="",K64=""),"",IF(AND(N64="NG",M64="OK"),"FalseOK",IF(AND(N64="OK",M64="NG"),"FalseNG","-")))</f>
        <v/>
      </c>
      <c r="Q64" t="inlineStr"/>
    </row>
    <row r="65">
      <c r="A65" t="inlineStr">
        <is>
          <t>C</t>
        </is>
      </c>
      <c r="B65" t="inlineStr">
        <is>
          <t>P3_확인</t>
        </is>
      </c>
      <c r="C65" t="inlineStr">
        <is>
          <t>86µm</t>
        </is>
      </c>
      <c r="D65" t="n">
        <v>86</v>
      </c>
      <c r="E65" t="n">
        <v>60</v>
      </c>
      <c r="F65" t="n">
        <v>0.8</v>
      </c>
      <c r="G65" t="n">
        <v>64</v>
      </c>
      <c r="H65" t="n">
        <v>4</v>
      </c>
      <c r="I65" t="n">
        <v>5</v>
      </c>
      <c r="L65">
        <f>IFERROR((J65-K65)/K65,"")</f>
        <v/>
      </c>
      <c r="M65">
        <f>IF(J65="","",IF(J65&gt;=8,"NG","OK"))</f>
        <v/>
      </c>
      <c r="N65">
        <f>IF(K65="","",IF(K65&gt;=8,"NG","OK"))</f>
        <v/>
      </c>
      <c r="O65">
        <f>IF(OR(J65="",K65=""),"",IF(AND(N65="NG",M65="OK"),"FalseOK",IF(AND(N65="OK",M65="NG"),"FalseNG","-")))</f>
        <v/>
      </c>
      <c r="Q65" t="inlineStr"/>
    </row>
  </sheetData>
  <mergeCells count="1">
    <mergeCell ref="A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2026-07-11T08:00:17Z</dcterms:created>
  <dcterms:modified xmlns:dcterms="http://purl.org/dc/terms/" xmlns:xsi="http://www.w3.org/2001/XMLSchema-instance" xsi:type="dcterms:W3CDTF">2026-07-11T08:00:17Z</dcterms:modified>
</cp:coreProperties>
</file>