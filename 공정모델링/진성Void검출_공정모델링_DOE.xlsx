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표_3축원리" sheetId="1" state="visible" r:id="rId1"/>
    <sheet xmlns:r="http://schemas.openxmlformats.org/officeDocument/2006/relationships" name="Void검출_DOE" sheetId="2" state="visible" r:id="rId2"/>
    <sheet xmlns:r="http://schemas.openxmlformats.org/officeDocument/2006/relationships" name="통합최적화_로직" sheetId="3" state="visible" r:id="rId3"/>
    <sheet xmlns:r="http://schemas.openxmlformats.org/officeDocument/2006/relationships" name="보조실험_R하한_F재현성" sheetId="4" state="visible" r:id="rId4"/>
    <sheet xmlns:r="http://schemas.openxmlformats.org/officeDocument/2006/relationships" name="총_실험런_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0" customWidth="1" min="5" max="5"/>
    <col width="30" customWidth="1" min="6" max="6"/>
  </cols>
  <sheetData>
    <row r="1">
      <c r="A1" s="1" t="inlineStr">
        <is>
          <t>공정 모델링 목표 — diameter·roundness를 유지하며 진성 void를 검출하는 파라미터 설정</t>
        </is>
      </c>
    </row>
    <row r="2">
      <c r="A2" s="2" t="inlineStr">
        <is>
          <t>핵심 목표: 세 가지 품질을 '동시에' 만족하는 레시피(kV·R·F·W)를 자재 직경(24µm 예정)으로부터 산출한다. ① 직경 정확도(측정=실제) ② 진원도(원형) ③ 진성 void 검출(진짜 기공을 놓치지 않음). ①②는 이미 모델 완성, ③이 이 계획의 목적함수.</t>
        </is>
      </c>
    </row>
    <row r="3"/>
    <row r="4"/>
    <row r="6">
      <c r="A6" s="3" t="inlineStr">
        <is>
          <t>■ 세 품질축이 각 파라미터에 요구하는 방향 (실측 기반)</t>
        </is>
      </c>
    </row>
    <row r="7" ht="30" customHeight="1">
      <c r="A7" s="4" t="inlineStr">
        <is>
          <t>품질축</t>
        </is>
      </c>
      <c r="B7" s="4" t="inlineStr">
        <is>
          <t>kV</t>
        </is>
      </c>
      <c r="C7" s="4" t="inlineStr">
        <is>
          <t>R</t>
        </is>
      </c>
      <c r="D7" s="4" t="inlineStr">
        <is>
          <t>F</t>
        </is>
      </c>
      <c r="E7" s="4" t="inlineStr">
        <is>
          <t>W</t>
        </is>
      </c>
      <c r="F7" s="5" t="inlineStr">
        <is>
          <t>한 줄 정리</t>
        </is>
      </c>
    </row>
    <row r="8" ht="30" customHeight="1">
      <c r="A8" s="6" t="inlineStr">
        <is>
          <t>직경 정확도</t>
        </is>
      </c>
      <c r="B8" s="7" t="inlineStr">
        <is>
          <t>정점 60 (필수·정밀)</t>
        </is>
      </c>
      <c r="C8" s="7" t="inlineStr">
        <is>
          <t>무관</t>
        </is>
      </c>
      <c r="D8" s="7" t="inlineStr">
        <is>
          <t>무관</t>
        </is>
      </c>
      <c r="E8" s="7" t="inlineStr">
        <is>
          <t>무관</t>
        </is>
      </c>
      <c r="F8" s="8" t="inlineStr">
        <is>
          <t>kV만 지배. R/F/W 자유</t>
        </is>
      </c>
    </row>
    <row r="9" ht="30" customHeight="1">
      <c r="A9" s="6" t="inlineStr">
        <is>
          <t>진원도</t>
        </is>
      </c>
      <c r="B9" s="7" t="inlineStr">
        <is>
          <t>정점 60에서 최고</t>
        </is>
      </c>
      <c r="C9" s="7" t="inlineStr">
        <is>
          <t>클수록↑(거친R=매끈)</t>
        </is>
      </c>
      <c r="D9" s="7" t="inlineStr">
        <is>
          <t>무의미</t>
        </is>
      </c>
      <c r="E9" s="7" t="inlineStr">
        <is>
          <t>무의미</t>
        </is>
      </c>
      <c r="F9" s="8" t="inlineStr">
        <is>
          <t>kV60 + R 큰 쪽 선호</t>
        </is>
      </c>
    </row>
    <row r="10" ht="30" customHeight="1">
      <c r="A10" s="6" t="inlineStr">
        <is>
          <t>진성 void 검출</t>
        </is>
      </c>
      <c r="B10" s="7" t="inlineStr">
        <is>
          <t>대비 최적 kV(≈60? 검증필요)</t>
        </is>
      </c>
      <c r="C10" s="7" t="inlineStr">
        <is>
          <t>작을수록 작은void까지↑</t>
        </is>
      </c>
      <c r="D10" s="7" t="inlineStr">
        <is>
          <t>노이즈경계 void 구제</t>
        </is>
      </c>
      <c r="E10" s="7" t="inlineStr">
        <is>
          <t>광자↑로 대비/구제</t>
        </is>
      </c>
      <c r="F10" s="8" t="inlineStr">
        <is>
          <t>R 작은 쪽 선호</t>
        </is>
      </c>
    </row>
    <row r="12">
      <c r="A12" s="3" t="inlineStr">
        <is>
          <t>■ 핵심 통찰 — 세 축은 오직 'R'에서만 상충한다</t>
        </is>
      </c>
    </row>
    <row r="13" ht="30" customHeight="1">
      <c r="A13" s="3" t="inlineStr">
        <is>
          <t>kV</t>
        </is>
      </c>
      <c r="B13" s="2" t="inlineStr">
        <is>
          <t>셋 다 정점 60을 원함 → 충돌 없음(단 void 대비가 60에서 충분한지만 확인). F·W는 셋 다 사실상 무관/보조.</t>
        </is>
      </c>
    </row>
    <row r="14" ht="16" customHeight="1">
      <c r="A14" s="3" t="inlineStr">
        <is>
          <t>R 상충</t>
        </is>
      </c>
      <c r="B14" s="2" t="inlineStr">
        <is>
          <t>진원도는 R 크게, void 검출은 R 작게를 원함. 직경은 중립 → R이 유일한 절충 변수.</t>
        </is>
      </c>
    </row>
    <row r="15" ht="30" customHeight="1">
      <c r="A15" s="3" t="inlineStr">
        <is>
          <t>최적 R</t>
        </is>
      </c>
      <c r="B15" s="2" t="inlineStr">
        <is>
          <t>void를 '겨우' 검출하는 가장 큰 R = D·√(목표void%)/N8_void. 이러면 void도 잡고 진원도·광자안전도 최대. → 세 축을 동시에 만족하는 단 하나의 R.</t>
        </is>
      </c>
    </row>
    <row r="16" ht="30" customHeight="1">
      <c r="A16" s="3" t="inlineStr">
        <is>
          <t>미지수</t>
        </is>
      </c>
      <c r="B16" s="2" t="inlineStr">
        <is>
          <t>N8_void = 진짜 void를 검출하는 데 실제로 필요한 픽셀 수. 지금은 기하학적 가정(=14, 8% void·ε20% 기준)일 뿐 진짜 void로 검증한 적 없음 → 이 계획(Void검출 DOE)이 N8_void를 실측 교정한다.</t>
        </is>
      </c>
    </row>
    <row r="18">
      <c r="A18" s="3" t="inlineStr">
        <is>
          <t>■ 목표 void%별 필요 R (24µm, N8_void=14 가정 — DOE로 교정 대상)</t>
        </is>
      </c>
    </row>
    <row r="19">
      <c r="A19" s="4" t="inlineStr">
        <is>
          <t>목표 void%</t>
        </is>
      </c>
      <c r="B19" s="4" t="inlineStr">
        <is>
          <t>void 지름(µm)</t>
        </is>
      </c>
      <c r="C19" s="4" t="inlineStr">
        <is>
          <t>필요 R(≤)</t>
        </is>
      </c>
      <c r="D19" s="5" t="inlineStr">
        <is>
          <t>비고</t>
        </is>
      </c>
    </row>
    <row r="20">
      <c r="A20" s="7" t="inlineStr">
        <is>
          <t>2%</t>
        </is>
      </c>
      <c r="B20" s="7" t="inlineStr">
        <is>
          <t>3.4</t>
        </is>
      </c>
      <c r="C20" s="7" t="inlineStr">
        <is>
          <t>0.24</t>
        </is>
      </c>
      <c r="D20" s="8" t="inlineStr">
        <is>
          <t>작은 void → 고해상도 필요(진원도 손해 큼)</t>
        </is>
      </c>
    </row>
    <row r="21">
      <c r="A21" s="7" t="inlineStr">
        <is>
          <t>5%</t>
        </is>
      </c>
      <c r="B21" s="7" t="inlineStr">
        <is>
          <t>5.4</t>
        </is>
      </c>
      <c r="C21" s="7" t="inlineStr">
        <is>
          <t>0.38</t>
        </is>
      </c>
      <c r="D21" s="8" t="inlineStr">
        <is>
          <t>중간</t>
        </is>
      </c>
    </row>
    <row r="22">
      <c r="A22" s="9" t="inlineStr">
        <is>
          <t>8%</t>
        </is>
      </c>
      <c r="B22" s="9" t="inlineStr">
        <is>
          <t>6.8</t>
        </is>
      </c>
      <c r="C22" s="9" t="inlineStr">
        <is>
          <t>0.48</t>
        </is>
      </c>
      <c r="D22" s="10" t="inlineStr">
        <is>
          <t>현 기준 = 현 추천 R. 진원도도 양호</t>
        </is>
      </c>
    </row>
    <row r="23">
      <c r="A23" s="7" t="inlineStr">
        <is>
          <t>12%</t>
        </is>
      </c>
      <c r="B23" s="7" t="inlineStr">
        <is>
          <t>8.3</t>
        </is>
      </c>
      <c r="C23" s="7" t="inlineStr">
        <is>
          <t>0.59</t>
        </is>
      </c>
      <c r="D23" s="8" t="inlineStr">
        <is>
          <t>큰 void만 → 거친 R 가능(진원도 최상)</t>
        </is>
      </c>
    </row>
  </sheetData>
  <mergeCells count="6">
    <mergeCell ref="B16:F16"/>
    <mergeCell ref="B15:F15"/>
    <mergeCell ref="A1:F1"/>
    <mergeCell ref="B14:F14"/>
    <mergeCell ref="A2:F4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0" customWidth="1" min="9" max="9"/>
    <col width="9" customWidth="1" min="10" max="10"/>
    <col width="11" customWidth="1" min="11" max="11"/>
    <col width="11" customWidth="1" min="12" max="12"/>
    <col width="12" customWidth="1" min="13" max="13"/>
    <col width="30" customWidth="1" min="14" max="14"/>
  </cols>
  <sheetData>
    <row r="1">
      <c r="A1" s="11" t="inlineStr">
        <is>
          <t>① Void 검출 DOE (메인) — 진성 void를 잡는 R을 찾고 직경·진원도 유지 확인 (24µm void 자재)</t>
        </is>
      </c>
    </row>
    <row r="2">
      <c r="A2" s="2" t="inlineStr">
        <is>
          <t>kV60 고정 R스윕이 메인(void 검출 한계=N8_void 교정). kV대비·SNR은 보조. 각 런에서 void와 직경·진원도를 '함께' 측정. 노란=측정 입력.</t>
        </is>
      </c>
    </row>
    <row r="3"/>
    <row r="5">
      <c r="A5" s="4" t="inlineStr">
        <is>
          <t>Run</t>
        </is>
      </c>
      <c r="B5" s="4" t="inlineStr">
        <is>
          <t>블록</t>
        </is>
      </c>
      <c r="C5" s="4" t="inlineStr">
        <is>
          <t>자재</t>
        </is>
      </c>
      <c r="D5" s="4" t="inlineStr">
        <is>
          <t>kV</t>
        </is>
      </c>
      <c r="E5" s="4" t="inlineStr">
        <is>
          <t>R</t>
        </is>
      </c>
      <c r="F5" s="4" t="inlineStr">
        <is>
          <t>F</t>
        </is>
      </c>
      <c r="G5" s="4" t="inlineStr">
        <is>
          <t>W</t>
        </is>
      </c>
      <c r="H5" s="4" t="inlineStr">
        <is>
          <t>반복</t>
        </is>
      </c>
      <c r="I5" s="4" t="inlineStr">
        <is>
          <t>void검출률%</t>
        </is>
      </c>
      <c r="J5" s="4" t="inlineStr">
        <is>
          <t>측정void%</t>
        </is>
      </c>
      <c r="K5" s="4" t="inlineStr">
        <is>
          <t>최소검출void%</t>
        </is>
      </c>
      <c r="L5" s="4" t="inlineStr">
        <is>
          <t>Q_dia(유지)</t>
        </is>
      </c>
      <c r="M5" s="4" t="inlineStr">
        <is>
          <t>진원도%(유지)</t>
        </is>
      </c>
      <c r="N5" s="4" t="inlineStr">
        <is>
          <t>메모</t>
        </is>
      </c>
    </row>
    <row r="6">
      <c r="A6" s="12" t="inlineStr">
        <is>
          <t>V-1</t>
        </is>
      </c>
      <c r="B6" s="12" t="inlineStr">
        <is>
          <t>R스윕(정점kV)</t>
        </is>
      </c>
      <c r="C6" s="12" t="inlineStr">
        <is>
          <t>24µm void</t>
        </is>
      </c>
      <c r="D6" s="12" t="n">
        <v>60</v>
      </c>
      <c r="E6" s="12" t="n">
        <v>0.2</v>
      </c>
      <c r="F6" s="12" t="n">
        <v>64</v>
      </c>
      <c r="G6" s="12" t="n">
        <v>4</v>
      </c>
      <c r="H6" s="12" t="n">
        <v>1</v>
      </c>
      <c r="I6" s="13" t="inlineStr"/>
      <c r="J6" s="13" t="inlineStr"/>
      <c r="K6" s="13" t="inlineStr"/>
      <c r="L6" s="13" t="inlineStr"/>
      <c r="M6" s="13" t="inlineStr"/>
      <c r="N6" s="14" t="inlineStr">
        <is>
          <t>N8~33 최고해상도 — 작은void까지 잡히나</t>
        </is>
      </c>
    </row>
    <row r="7">
      <c r="A7" s="15" t="inlineStr">
        <is>
          <t>V-2</t>
        </is>
      </c>
      <c r="B7" s="15" t="inlineStr">
        <is>
          <t>R스윕(정점kV)</t>
        </is>
      </c>
      <c r="C7" s="15" t="inlineStr">
        <is>
          <t>24µm void</t>
        </is>
      </c>
      <c r="D7" s="15" t="n">
        <v>60</v>
      </c>
      <c r="E7" s="15" t="n">
        <v>0.3</v>
      </c>
      <c r="F7" s="15" t="n">
        <v>64</v>
      </c>
      <c r="G7" s="15" t="n">
        <v>4</v>
      </c>
      <c r="H7" s="15" t="n">
        <v>1</v>
      </c>
      <c r="I7" s="13" t="inlineStr"/>
      <c r="J7" s="13" t="inlineStr"/>
      <c r="K7" s="13" t="inlineStr"/>
      <c r="L7" s="13" t="inlineStr"/>
      <c r="M7" s="13" t="inlineStr"/>
      <c r="N7" s="16" t="inlineStr">
        <is>
          <t>N8~22</t>
        </is>
      </c>
    </row>
    <row r="8">
      <c r="A8" s="9" t="inlineStr">
        <is>
          <t>V-3</t>
        </is>
      </c>
      <c r="B8" s="9" t="inlineStr">
        <is>
          <t>R스윕(정점kV)</t>
        </is>
      </c>
      <c r="C8" s="9" t="inlineStr">
        <is>
          <t>24µm void</t>
        </is>
      </c>
      <c r="D8" s="9" t="n">
        <v>60</v>
      </c>
      <c r="E8" s="9" t="n">
        <v>0.48</v>
      </c>
      <c r="F8" s="9" t="n">
        <v>64</v>
      </c>
      <c r="G8" s="9" t="n">
        <v>4</v>
      </c>
      <c r="H8" s="9" t="n">
        <v>1</v>
      </c>
      <c r="I8" s="13" t="inlineStr"/>
      <c r="J8" s="13" t="inlineStr"/>
      <c r="K8" s="13" t="inlineStr"/>
      <c r="L8" s="13" t="inlineStr"/>
      <c r="M8" s="13" t="inlineStr"/>
      <c r="N8" s="10" t="inlineStr">
        <is>
          <t>N8~14 = 현 추천(8% void 겨우). 여기서 잡히나?</t>
        </is>
      </c>
    </row>
    <row r="9">
      <c r="A9" s="15" t="inlineStr">
        <is>
          <t>V-4</t>
        </is>
      </c>
      <c r="B9" s="15" t="inlineStr">
        <is>
          <t>R스윕(정점kV)</t>
        </is>
      </c>
      <c r="C9" s="15" t="inlineStr">
        <is>
          <t>24µm void</t>
        </is>
      </c>
      <c r="D9" s="15" t="n">
        <v>60</v>
      </c>
      <c r="E9" s="15" t="n">
        <v>0.65</v>
      </c>
      <c r="F9" s="15" t="n">
        <v>64</v>
      </c>
      <c r="G9" s="15" t="n">
        <v>4</v>
      </c>
      <c r="H9" s="15" t="n">
        <v>1</v>
      </c>
      <c r="I9" s="13" t="inlineStr"/>
      <c r="J9" s="13" t="inlineStr"/>
      <c r="K9" s="13" t="inlineStr"/>
      <c r="L9" s="13" t="inlineStr"/>
      <c r="M9" s="13" t="inlineStr"/>
      <c r="N9" s="16" t="inlineStr">
        <is>
          <t>N8~10 — 8% void 놓치기 시작?</t>
        </is>
      </c>
    </row>
    <row r="10">
      <c r="A10" s="17" t="inlineStr">
        <is>
          <t>V-5</t>
        </is>
      </c>
      <c r="B10" s="17" t="inlineStr">
        <is>
          <t>R스윕(정점kV)</t>
        </is>
      </c>
      <c r="C10" s="17" t="inlineStr">
        <is>
          <t>24µm void</t>
        </is>
      </c>
      <c r="D10" s="17" t="n">
        <v>60</v>
      </c>
      <c r="E10" s="17" t="n">
        <v>0.8</v>
      </c>
      <c r="F10" s="17" t="n">
        <v>64</v>
      </c>
      <c r="G10" s="17" t="n">
        <v>4</v>
      </c>
      <c r="H10" s="17" t="n">
        <v>1</v>
      </c>
      <c r="I10" s="13" t="inlineStr"/>
      <c r="J10" s="13" t="inlineStr"/>
      <c r="K10" s="13" t="inlineStr"/>
      <c r="L10" s="13" t="inlineStr"/>
      <c r="M10" s="13" t="inlineStr"/>
      <c r="N10" s="18" t="inlineStr">
        <is>
          <t>N8~8 저해상도 — void 놓침 확인</t>
        </is>
      </c>
    </row>
    <row r="11">
      <c r="A11" s="19" t="inlineStr">
        <is>
          <t>V-6</t>
        </is>
      </c>
      <c r="B11" s="19" t="inlineStr">
        <is>
          <t>kV대비</t>
        </is>
      </c>
      <c r="C11" s="19" t="inlineStr">
        <is>
          <t>24µm void</t>
        </is>
      </c>
      <c r="D11" s="19" t="n">
        <v>58</v>
      </c>
      <c r="E11" s="19" t="n">
        <v>0.48</v>
      </c>
      <c r="F11" s="19" t="n">
        <v>64</v>
      </c>
      <c r="G11" s="19" t="n">
        <v>4</v>
      </c>
      <c r="H11" s="19" t="n">
        <v>1</v>
      </c>
      <c r="I11" s="13" t="inlineStr"/>
      <c r="J11" s="13" t="inlineStr"/>
      <c r="K11" s="13" t="inlineStr"/>
      <c r="L11" s="13" t="inlineStr"/>
      <c r="M11" s="13" t="inlineStr"/>
      <c r="N11" s="20" t="inlineStr">
        <is>
          <t>void 대비가 저kV서 좋아지나(단 직경↓)</t>
        </is>
      </c>
    </row>
    <row r="12">
      <c r="A12" s="19" t="inlineStr">
        <is>
          <t>V-7</t>
        </is>
      </c>
      <c r="B12" s="19" t="inlineStr">
        <is>
          <t>kV대비</t>
        </is>
      </c>
      <c r="C12" s="19" t="inlineStr">
        <is>
          <t>24µm void</t>
        </is>
      </c>
      <c r="D12" s="19" t="n">
        <v>62</v>
      </c>
      <c r="E12" s="19" t="n">
        <v>0.48</v>
      </c>
      <c r="F12" s="19" t="n">
        <v>64</v>
      </c>
      <c r="G12" s="19" t="n">
        <v>4</v>
      </c>
      <c r="H12" s="19" t="n">
        <v>1</v>
      </c>
      <c r="I12" s="13" t="inlineStr"/>
      <c r="J12" s="13" t="inlineStr"/>
      <c r="K12" s="13" t="inlineStr"/>
      <c r="L12" s="13" t="inlineStr"/>
      <c r="M12" s="13" t="inlineStr"/>
      <c r="N12" s="20" t="inlineStr">
        <is>
          <t>void 대비가 고kV서 좋아지나(단 직경↓)</t>
        </is>
      </c>
    </row>
    <row r="13">
      <c r="A13" s="21" t="inlineStr">
        <is>
          <t>V-8</t>
        </is>
      </c>
      <c r="B13" s="21" t="inlineStr">
        <is>
          <t>SNR-F</t>
        </is>
      </c>
      <c r="C13" s="21" t="inlineStr">
        <is>
          <t>24µm void</t>
        </is>
      </c>
      <c r="D13" s="21" t="n">
        <v>60</v>
      </c>
      <c r="E13" s="21" t="n">
        <v>0.65</v>
      </c>
      <c r="F13" s="21" t="n">
        <v>128</v>
      </c>
      <c r="G13" s="21" t="n">
        <v>4</v>
      </c>
      <c r="H13" s="21" t="n">
        <v>1</v>
      </c>
      <c r="I13" s="13" t="inlineStr"/>
      <c r="J13" s="13" t="inlineStr"/>
      <c r="K13" s="13" t="inlineStr"/>
      <c r="L13" s="13" t="inlineStr"/>
      <c r="M13" s="13" t="inlineStr"/>
      <c r="N13" s="22" t="inlineStr">
        <is>
          <t>경계R서 F↑로 void 구제되나</t>
        </is>
      </c>
    </row>
    <row r="14">
      <c r="A14" s="21" t="inlineStr">
        <is>
          <t>V-9</t>
        </is>
      </c>
      <c r="B14" s="21" t="inlineStr">
        <is>
          <t>SNR-W</t>
        </is>
      </c>
      <c r="C14" s="21" t="inlineStr">
        <is>
          <t>24µm void</t>
        </is>
      </c>
      <c r="D14" s="21" t="n">
        <v>60</v>
      </c>
      <c r="E14" s="21" t="n">
        <v>0.65</v>
      </c>
      <c r="F14" s="21" t="n">
        <v>64</v>
      </c>
      <c r="G14" s="21" t="n">
        <v>8</v>
      </c>
      <c r="H14" s="21" t="n">
        <v>1</v>
      </c>
      <c r="I14" s="13" t="inlineStr"/>
      <c r="J14" s="13" t="inlineStr"/>
      <c r="K14" s="13" t="inlineStr"/>
      <c r="L14" s="13" t="inlineStr"/>
      <c r="M14" s="13" t="inlineStr"/>
      <c r="N14" s="22" t="inlineStr">
        <is>
          <t>경계R서 W↑(광자)로 void 구제되나</t>
        </is>
      </c>
    </row>
    <row r="15">
      <c r="A15" s="9" t="inlineStr">
        <is>
          <t>V-10</t>
        </is>
      </c>
      <c r="B15" s="9" t="inlineStr">
        <is>
          <t>운영점σ</t>
        </is>
      </c>
      <c r="C15" s="9" t="inlineStr">
        <is>
          <t>24µm void</t>
        </is>
      </c>
      <c r="D15" s="9" t="n">
        <v>60</v>
      </c>
      <c r="E15" s="9" t="n">
        <v>0.48</v>
      </c>
      <c r="F15" s="9" t="n">
        <v>64</v>
      </c>
      <c r="G15" s="9" t="n">
        <v>4</v>
      </c>
      <c r="H15" s="9" t="n">
        <v>1</v>
      </c>
      <c r="I15" s="13" t="inlineStr"/>
      <c r="J15" s="13" t="inlineStr"/>
      <c r="K15" s="13" t="inlineStr"/>
      <c r="L15" s="13" t="inlineStr"/>
      <c r="M15" s="13" t="inlineStr"/>
      <c r="N15" s="10" t="inlineStr">
        <is>
          <t>검출률·void% 반복1</t>
        </is>
      </c>
    </row>
    <row r="16">
      <c r="A16" s="9" t="inlineStr">
        <is>
          <t>V-11</t>
        </is>
      </c>
      <c r="B16" s="9" t="inlineStr">
        <is>
          <t>운영점σ</t>
        </is>
      </c>
      <c r="C16" s="9" t="inlineStr">
        <is>
          <t>24µm void</t>
        </is>
      </c>
      <c r="D16" s="9" t="n">
        <v>60</v>
      </c>
      <c r="E16" s="9" t="n">
        <v>0.48</v>
      </c>
      <c r="F16" s="9" t="n">
        <v>64</v>
      </c>
      <c r="G16" s="9" t="n">
        <v>4</v>
      </c>
      <c r="H16" s="9" t="n">
        <v>2</v>
      </c>
      <c r="I16" s="13" t="inlineStr"/>
      <c r="J16" s="13" t="inlineStr"/>
      <c r="K16" s="13" t="inlineStr"/>
      <c r="L16" s="13" t="inlineStr"/>
      <c r="M16" s="13" t="inlineStr"/>
      <c r="N16" s="10" t="inlineStr">
        <is>
          <t>반복2</t>
        </is>
      </c>
    </row>
    <row r="17">
      <c r="A17" s="9" t="inlineStr">
        <is>
          <t>V-12</t>
        </is>
      </c>
      <c r="B17" s="9" t="inlineStr">
        <is>
          <t>운영점σ</t>
        </is>
      </c>
      <c r="C17" s="9" t="inlineStr">
        <is>
          <t>24µm void</t>
        </is>
      </c>
      <c r="D17" s="9" t="n">
        <v>60</v>
      </c>
      <c r="E17" s="9" t="n">
        <v>0.48</v>
      </c>
      <c r="F17" s="9" t="n">
        <v>64</v>
      </c>
      <c r="G17" s="9" t="n">
        <v>4</v>
      </c>
      <c r="H17" s="9" t="n">
        <v>3</v>
      </c>
      <c r="I17" s="13" t="inlineStr"/>
      <c r="J17" s="13" t="inlineStr"/>
      <c r="K17" s="13" t="inlineStr"/>
      <c r="L17" s="13" t="inlineStr"/>
      <c r="M17" s="13" t="inlineStr"/>
      <c r="N17" s="10" t="inlineStr">
        <is>
          <t>반복3(σ)</t>
        </is>
      </c>
    </row>
    <row r="19" ht="30" customHeight="1">
      <c r="A19" s="3" t="inlineStr">
        <is>
          <t>이 시트의 목적</t>
        </is>
      </c>
      <c r="B19" s="2" t="inlineStr">
        <is>
          <t>kV60(직경·진원도 정점) 고정하고 R을 훑어, 진짜 void가 어느 R부터 안 잡히나 = N8_void를 실측 교정. 동시에 Q_dia·진원도를 같이 기록해 '유지되는지' 확인 → 3축 동시 검증.</t>
        </is>
      </c>
    </row>
    <row r="20" ht="30" customHeight="1">
      <c r="A20" s="3" t="inlineStr">
        <is>
          <t>판정 로직</t>
        </is>
      </c>
      <c r="B20" s="2" t="inlineStr">
        <is>
          <t>R↓일수록 void 검출률↑·최소검출void%↓. 검출률이 무너지는 R = 검출 한계. 그 R의 N8이 진짜 N8_void. 만약 kV60·R0.48(현 추천)에서 목표 void가 잘 잡히면 → 3축 모두 현 레시피로 충족(최상 시나리오).</t>
        </is>
      </c>
    </row>
    <row r="21" ht="30" customHeight="1">
      <c r="A21" s="3" t="inlineStr">
        <is>
          <t>kV 대비(V-6,7)</t>
        </is>
      </c>
      <c r="B21" s="2" t="inlineStr">
        <is>
          <t>void는 밀도 대비라 kV(에너지)로 대비가 바뀔 수 있음. 저/고 kV서 void가 더 잘 보이면 trade-off (직경·진원도는 60에서만 좋음) → '대비 이득 vs 직경 손해' 비교해 절충 kV 판단.</t>
        </is>
      </c>
    </row>
    <row r="22" ht="30" customHeight="1">
      <c r="A22" s="3" t="inlineStr">
        <is>
          <t>SNR(V-8,9)</t>
        </is>
      </c>
      <c r="B22" s="2" t="inlineStr">
        <is>
          <t>경계 R(겨우 안 잡히는 지점)에서 F·W를 올려 SNR로 void를 구제할 수 있나 → 되면 더 거친 R로도 void 검출 가능 = 진원도 이득.</t>
        </is>
      </c>
    </row>
    <row r="23" ht="30" customHeight="1">
      <c r="A23" s="3" t="inlineStr">
        <is>
          <t>측정 항목</t>
        </is>
      </c>
      <c r="B23" s="2" t="inlineStr">
        <is>
          <t>void검출률(sensitivity)·측정void%·최소검출void% + Q_dia·진원도(동시). 진성void 위치는 SEM단면 등 '정답' 확보 권장.</t>
        </is>
      </c>
    </row>
  </sheetData>
  <mergeCells count="7">
    <mergeCell ref="B22:N22"/>
    <mergeCell ref="B23:N23"/>
    <mergeCell ref="A2:N3"/>
    <mergeCell ref="B21:N21"/>
    <mergeCell ref="B19:N19"/>
    <mergeCell ref="B20:N20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8" customWidth="1" min="3" max="3"/>
    <col width="8" customWidth="1" min="4" max="4"/>
    <col width="8" customWidth="1" min="5" max="5"/>
  </cols>
  <sheetData>
    <row r="1">
      <c r="A1" s="11" t="inlineStr">
        <is>
          <t>② 통합 최적화 로직 — 세 축을 동시에 만족하는 레시피 산출</t>
        </is>
      </c>
    </row>
    <row r="2">
      <c r="A2" s="2" t="inlineStr">
        <is>
          <t>Void검출 DOE로 N8_void가 교정되면, 임의 자재 직경 D와 목표 void%에 대해 아래 순서로 레시피가 하나로 정해진다.</t>
        </is>
      </c>
    </row>
    <row r="3"/>
    <row r="5" ht="30" customHeight="1">
      <c r="A5" s="3" t="inlineStr">
        <is>
          <t>1. kV</t>
        </is>
      </c>
      <c r="B5" s="2">
        <f> 60 (직경·진원도 정점). Void DOE에서 대비가 60에서 충분하면 확정. 부족하면 대비 이득과 직경 손해를 비교해 조정. 트림 ±0.3kV.</f>
        <v/>
      </c>
    </row>
    <row r="6" ht="30" customHeight="1">
      <c r="A6" s="3" t="inlineStr">
        <is>
          <t>2. R</t>
        </is>
      </c>
      <c r="B6" s="2">
        <f> D·√(목표void%) / N8_void  ← void를 겨우 잡는 가장 큰 R. void 검출 + 진원도·광자안전 동시 최대. (예: 24µm·8%·N8_void=14 → R≈0.48). N8_void는 DOE 실측값 사용.</f>
        <v/>
      </c>
    </row>
    <row r="7" ht="30" customHeight="1">
      <c r="A7" s="3" t="inlineStr">
        <is>
          <t>3. F</t>
        </is>
      </c>
      <c r="B7" s="2">
        <f> 32 (최소). 노이즈 이미 충분히 작음. 단 Void DOE서 경계 void를 F로 구제할 수 있다고 나오면, 더 거친 R을 쓰려 F↑ 선택 가능.</f>
        <v/>
      </c>
    </row>
    <row r="8" ht="16" customHeight="1">
      <c r="A8" s="3" t="inlineStr">
        <is>
          <t>4. W</t>
        </is>
      </c>
      <c r="B8" s="2">
        <f> 4 (최소). 자재 얇아 무관. 단 void 대비/구제에 W가 유효하면 상향 검토.</f>
        <v/>
      </c>
    </row>
    <row r="9" ht="30" customHeight="1">
      <c r="A9" s="3" t="inlineStr">
        <is>
          <t>5. 검증</t>
        </is>
      </c>
      <c r="B9" s="2" t="inlineStr">
        <is>
          <t>그 레시피에서 Q_dia∈[0.97,1.03]·진원도 목표·void 검출 셋 다 통과하는지 확인 → 통과하면 확정, 아니면 목표void%나 R 재조정.</t>
        </is>
      </c>
    </row>
    <row r="11">
      <c r="A11" s="3" t="inlineStr">
        <is>
          <t>제약 최적화 형태</t>
        </is>
      </c>
    </row>
    <row r="12">
      <c r="A12" s="2" t="inlineStr">
        <is>
          <t>minimize   진원도 손해 + 검사시간   (R을 필요 이상 낮추지 않기)</t>
        </is>
      </c>
    </row>
    <row r="13">
      <c r="A13" s="2" t="inlineStr">
        <is>
          <t>s.t.  |Q_dia−1| ≤ 0.03   (직경, kV로 만족)</t>
        </is>
      </c>
    </row>
    <row r="14">
      <c r="A14" s="2" t="inlineStr">
        <is>
          <t xml:space="preserve">      진원도 ≥ 목표        (kV·R로 만족)</t>
        </is>
      </c>
    </row>
    <row r="15">
      <c r="A15" s="2" t="inlineStr">
        <is>
          <t xml:space="preserve">      N8(D,R) ≥ N8_void   (진성 void 검출, R 상한 결정) ← DOE로 N8_void 교정</t>
        </is>
      </c>
    </row>
    <row r="16">
      <c r="A16" s="2" t="inlineStr">
        <is>
          <t xml:space="preserve">      R ≥ 광자부족 하한     (측정 성립, 보조 DOE로 교정)</t>
        </is>
      </c>
    </row>
  </sheetData>
  <mergeCells count="12">
    <mergeCell ref="B9:E9"/>
    <mergeCell ref="A12:E12"/>
    <mergeCell ref="B8:E8"/>
    <mergeCell ref="A16:E16"/>
    <mergeCell ref="A14:E14"/>
    <mergeCell ref="A2:E3"/>
    <mergeCell ref="A15:E15"/>
    <mergeCell ref="B6:E6"/>
    <mergeCell ref="B7:E7"/>
    <mergeCell ref="A1:E1"/>
    <mergeCell ref="B5:E5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9" customWidth="1" min="8" max="8"/>
    <col width="11" customWidth="1" min="9" max="9"/>
    <col width="8" customWidth="1" min="10" max="10"/>
    <col width="9" customWidth="1" min="11" max="11"/>
    <col width="30" customWidth="1" min="12" max="12"/>
  </cols>
  <sheetData>
    <row r="1">
      <c r="A1" s="11" t="inlineStr">
        <is>
          <t>③ 보조 실험 (void 불필요, 24µm 정상 자재) — R 하한·F 확정으로 메인 뒷받침</t>
        </is>
      </c>
    </row>
    <row r="2">
      <c r="A2" s="2" t="inlineStr">
        <is>
          <t>Void검출 DOE가 쓸 R 범위의 하한(광자부족)과 F 최소값을 정상 자재로 미리 확정. 업체가 말한 F·W 보정은 여기 S-4에서만 검증됨.</t>
        </is>
      </c>
    </row>
    <row r="3"/>
    <row r="5">
      <c r="A5" s="4" t="inlineStr">
        <is>
          <t>Run</t>
        </is>
      </c>
      <c r="B5" s="4" t="inlineStr">
        <is>
          <t>블록</t>
        </is>
      </c>
      <c r="C5" s="4" t="inlineStr">
        <is>
          <t>자재</t>
        </is>
      </c>
      <c r="D5" s="4" t="inlineStr">
        <is>
          <t>kV</t>
        </is>
      </c>
      <c r="E5" s="4" t="inlineStr">
        <is>
          <t>R</t>
        </is>
      </c>
      <c r="F5" s="4" t="inlineStr">
        <is>
          <t>F</t>
        </is>
      </c>
      <c r="G5" s="4" t="inlineStr">
        <is>
          <t>W</t>
        </is>
      </c>
      <c r="H5" s="4" t="inlineStr">
        <is>
          <t>void필요</t>
        </is>
      </c>
      <c r="I5" s="4" t="inlineStr">
        <is>
          <t>측정성공률%</t>
        </is>
      </c>
      <c r="J5" s="4" t="inlineStr">
        <is>
          <t>Q_dia</t>
        </is>
      </c>
      <c r="K5" s="4" t="inlineStr">
        <is>
          <t>진원도%</t>
        </is>
      </c>
      <c r="L5" s="4" t="inlineStr">
        <is>
          <t>메모</t>
        </is>
      </c>
    </row>
    <row r="6">
      <c r="A6" s="17" t="inlineStr">
        <is>
          <t>S-1</t>
        </is>
      </c>
      <c r="B6" s="17" t="inlineStr">
        <is>
          <t>R하한(선량)</t>
        </is>
      </c>
      <c r="C6" s="17" t="inlineStr">
        <is>
          <t>24µm</t>
        </is>
      </c>
      <c r="D6" s="17" t="inlineStr">
        <is>
          <t>-</t>
        </is>
      </c>
      <c r="E6" s="17" t="n">
        <v>0.3</v>
      </c>
      <c r="F6" s="17" t="n">
        <v>32</v>
      </c>
      <c r="G6" s="17" t="n">
        <v>4</v>
      </c>
      <c r="H6" s="17" t="inlineStr">
        <is>
          <t>아니오</t>
        </is>
      </c>
      <c r="I6" s="13" t="inlineStr"/>
      <c r="J6" s="13" t="inlineStr"/>
      <c r="K6" s="13" t="inlineStr"/>
      <c r="L6" s="18" t="inlineStr">
        <is>
          <t>F32 성공?</t>
        </is>
      </c>
    </row>
    <row r="7">
      <c r="A7" s="17" t="inlineStr">
        <is>
          <t>S-2</t>
        </is>
      </c>
      <c r="B7" s="17" t="inlineStr">
        <is>
          <t>R하한(선량)</t>
        </is>
      </c>
      <c r="C7" s="17" t="inlineStr">
        <is>
          <t>24µm</t>
        </is>
      </c>
      <c r="D7" s="17" t="inlineStr">
        <is>
          <t>-</t>
        </is>
      </c>
      <c r="E7" s="17" t="n">
        <v>0.25</v>
      </c>
      <c r="F7" s="17" t="n">
        <v>32</v>
      </c>
      <c r="G7" s="17" t="n">
        <v>4</v>
      </c>
      <c r="H7" s="17" t="inlineStr">
        <is>
          <t>아니오</t>
        </is>
      </c>
      <c r="I7" s="13" t="inlineStr"/>
      <c r="J7" s="13" t="inlineStr"/>
      <c r="K7" s="13" t="inlineStr"/>
      <c r="L7" s="18" t="inlineStr">
        <is>
          <t>실패 시작?</t>
        </is>
      </c>
    </row>
    <row r="8">
      <c r="A8" s="17" t="inlineStr">
        <is>
          <t>S-3</t>
        </is>
      </c>
      <c r="B8" s="17" t="inlineStr">
        <is>
          <t>R하한(선량)</t>
        </is>
      </c>
      <c r="C8" s="17" t="inlineStr">
        <is>
          <t>24µm</t>
        </is>
      </c>
      <c r="D8" s="17" t="inlineStr">
        <is>
          <t>-</t>
        </is>
      </c>
      <c r="E8" s="17" t="n">
        <v>0.2</v>
      </c>
      <c r="F8" s="17" t="n">
        <v>32</v>
      </c>
      <c r="G8" s="17" t="n">
        <v>4</v>
      </c>
      <c r="H8" s="17" t="inlineStr">
        <is>
          <t>아니오</t>
        </is>
      </c>
      <c r="I8" s="13" t="inlineStr"/>
      <c r="J8" s="13" t="inlineStr"/>
      <c r="K8" s="13" t="inlineStr"/>
      <c r="L8" s="18" t="inlineStr">
        <is>
          <t>장비 하한</t>
        </is>
      </c>
    </row>
    <row r="9">
      <c r="A9" s="19" t="inlineStr">
        <is>
          <t>S-4</t>
        </is>
      </c>
      <c r="B9" s="19" t="inlineStr">
        <is>
          <t>R하한-보정</t>
        </is>
      </c>
      <c r="C9" s="19" t="inlineStr">
        <is>
          <t>24µm</t>
        </is>
      </c>
      <c r="D9" s="19" t="inlineStr">
        <is>
          <t>-</t>
        </is>
      </c>
      <c r="E9" s="19" t="n">
        <v>0.2</v>
      </c>
      <c r="F9" s="19" t="n">
        <v>128</v>
      </c>
      <c r="G9" s="19" t="n">
        <v>8</v>
      </c>
      <c r="H9" s="19" t="inlineStr">
        <is>
          <t>아니오</t>
        </is>
      </c>
      <c r="I9" s="13" t="inlineStr"/>
      <c r="J9" s="13" t="inlineStr"/>
      <c r="K9" s="13" t="inlineStr"/>
      <c r="L9" s="20" t="inlineStr">
        <is>
          <t>F·W↑로 R0.2 살리나(광자부족만)</t>
        </is>
      </c>
    </row>
    <row r="10">
      <c r="A10" s="12" t="inlineStr">
        <is>
          <t>S-5</t>
        </is>
      </c>
      <c r="B10" s="12" t="inlineStr">
        <is>
          <t>F재현성</t>
        </is>
      </c>
      <c r="C10" s="12" t="inlineStr">
        <is>
          <t>24µm</t>
        </is>
      </c>
      <c r="D10" s="12" t="n">
        <v>60</v>
      </c>
      <c r="E10" s="12" t="n">
        <v>0.48</v>
      </c>
      <c r="F10" s="12" t="n">
        <v>32</v>
      </c>
      <c r="G10" s="12" t="n">
        <v>1</v>
      </c>
      <c r="H10" s="12" t="inlineStr">
        <is>
          <t>아니오</t>
        </is>
      </c>
      <c r="I10" s="13" t="inlineStr"/>
      <c r="J10" s="13" t="inlineStr"/>
      <c r="K10" s="13" t="inlineStr"/>
      <c r="L10" s="14" t="inlineStr">
        <is>
          <t>σ 반복(F32)×3</t>
        </is>
      </c>
    </row>
    <row r="11">
      <c r="A11" s="12" t="inlineStr">
        <is>
          <t>S-6</t>
        </is>
      </c>
      <c r="B11" s="12" t="inlineStr">
        <is>
          <t>F재현성</t>
        </is>
      </c>
      <c r="C11" s="12" t="inlineStr">
        <is>
          <t>24µm</t>
        </is>
      </c>
      <c r="D11" s="12" t="n">
        <v>60</v>
      </c>
      <c r="E11" s="12" t="n">
        <v>0.48</v>
      </c>
      <c r="F11" s="12" t="n">
        <v>64</v>
      </c>
      <c r="G11" s="12" t="n">
        <v>2</v>
      </c>
      <c r="H11" s="12" t="inlineStr">
        <is>
          <t>아니오</t>
        </is>
      </c>
      <c r="I11" s="13" t="inlineStr"/>
      <c r="J11" s="13" t="inlineStr"/>
      <c r="K11" s="13" t="inlineStr"/>
      <c r="L11" s="14" t="inlineStr">
        <is>
          <t>σ 반복(F64)×3</t>
        </is>
      </c>
    </row>
    <row r="12">
      <c r="A12" s="12" t="inlineStr">
        <is>
          <t>S-7</t>
        </is>
      </c>
      <c r="B12" s="12" t="inlineStr">
        <is>
          <t>F재현성</t>
        </is>
      </c>
      <c r="C12" s="12" t="inlineStr">
        <is>
          <t>24µm</t>
        </is>
      </c>
      <c r="D12" s="12" t="n">
        <v>60</v>
      </c>
      <c r="E12" s="12" t="n">
        <v>0.48</v>
      </c>
      <c r="F12" s="12" t="n">
        <v>128</v>
      </c>
      <c r="G12" s="12" t="n">
        <v>3</v>
      </c>
      <c r="H12" s="12" t="inlineStr">
        <is>
          <t>아니오</t>
        </is>
      </c>
      <c r="I12" s="13" t="inlineStr"/>
      <c r="J12" s="13" t="inlineStr"/>
      <c r="K12" s="13" t="inlineStr"/>
      <c r="L12" s="14" t="inlineStr">
        <is>
          <t>σ 반복(F128)×3</t>
        </is>
      </c>
    </row>
    <row r="14" ht="30" customHeight="1">
      <c r="A14" s="3" t="inlineStr">
        <is>
          <t>역할</t>
        </is>
      </c>
      <c r="B14" s="2" t="inlineStr">
        <is>
          <t>void 없이 24µm 정상 자재로 가능한 '보조 규명'. ①R을 어디까지 낮춰도 측정이 성립하나(광자부족 하한) ②F=32면 노이즈 예산 충분한가. Void검출 DOE의 R 하한·F 선택을 뒷받침.</t>
        </is>
      </c>
    </row>
    <row r="15" ht="30" customHeight="1">
      <c r="A15" s="3" t="inlineStr">
        <is>
          <t>업체가설 위치</t>
        </is>
      </c>
      <c r="B15" s="2" t="inlineStr">
        <is>
          <t>'낮은 R을 F·W로 보정'은 여기 S-4(측정 실패하는 극단 저R)에서만 성립 가능. R0.35 진원도 손실은 F로 보정 안 됨(이미 실측).</t>
        </is>
      </c>
    </row>
  </sheetData>
  <mergeCells count="4">
    <mergeCell ref="A2:L3"/>
    <mergeCell ref="B14:L14"/>
    <mergeCell ref="B15:L15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0" customWidth="1" min="4" max="4"/>
    <col width="10" customWidth="1" min="5" max="5"/>
    <col width="14" customWidth="1" min="6" max="6"/>
    <col width="40" customWidth="1" min="7" max="7"/>
  </cols>
  <sheetData>
    <row r="1">
      <c r="A1" s="11" t="inlineStr">
        <is>
          <t>총 실험런 계획 요약 (범프 24µm) — 목적: 직경·진원도 유지하며 진성 void 검출</t>
        </is>
      </c>
    </row>
    <row r="3">
      <c r="A3" s="4" t="inlineStr">
        <is>
          <t>실험</t>
        </is>
      </c>
      <c r="B3" s="4" t="inlineStr">
        <is>
          <t>목적(무엇을 답하나)</t>
        </is>
      </c>
      <c r="C3" s="4" t="inlineStr">
        <is>
          <t>자재</t>
        </is>
      </c>
      <c r="D3" s="4" t="inlineStr">
        <is>
          <t>void 필요</t>
        </is>
      </c>
      <c r="E3" s="4" t="inlineStr">
        <is>
          <t>런수</t>
        </is>
      </c>
      <c r="F3" s="4" t="inlineStr">
        <is>
          <t>우선순위</t>
        </is>
      </c>
      <c r="G3" s="4" t="inlineStr">
        <is>
          <t>산출물</t>
        </is>
      </c>
    </row>
    <row r="4" ht="42" customHeight="1">
      <c r="A4" s="9" t="inlineStr">
        <is>
          <t>① Void검출 DOE</t>
        </is>
      </c>
      <c r="B4" s="10" t="inlineStr">
        <is>
          <t>진성 void를 잡는 R(=N8_void) + kV대비 + 직경·진원도 동시 유지</t>
        </is>
      </c>
      <c r="C4" s="9" t="inlineStr">
        <is>
          <t>24µm void</t>
        </is>
      </c>
      <c r="D4" s="9" t="inlineStr">
        <is>
          <t>예</t>
        </is>
      </c>
      <c r="E4" s="9" t="n">
        <v>12</v>
      </c>
      <c r="F4" s="9" t="inlineStr">
        <is>
          <t>1 (핵심)</t>
        </is>
      </c>
      <c r="G4" s="10" t="inlineStr">
        <is>
          <t>void 검출 모델 = 3축 통합 레시피의 마지막 축</t>
        </is>
      </c>
    </row>
    <row r="5" ht="42" customHeight="1">
      <c r="A5" s="12" t="inlineStr">
        <is>
          <t>③ 보조(R하한·F)</t>
        </is>
      </c>
      <c r="B5" s="14" t="inlineStr">
        <is>
          <t>R을 어디까지 낮춰도 측정 성립 + F=32 충분성</t>
        </is>
      </c>
      <c r="C5" s="12" t="inlineStr">
        <is>
          <t>24µm</t>
        </is>
      </c>
      <c r="D5" s="12" t="inlineStr">
        <is>
          <t>아니오</t>
        </is>
      </c>
      <c r="E5" s="12" t="n">
        <v>7</v>
      </c>
      <c r="F5" s="12" t="inlineStr">
        <is>
          <t>2 (지금 가능)</t>
        </is>
      </c>
      <c r="G5" s="14" t="inlineStr">
        <is>
          <t>메인 DOE의 R범위·F 확정, 업체가설 판정</t>
        </is>
      </c>
    </row>
    <row r="6" ht="42" customHeight="1">
      <c r="A6" s="19" t="inlineStr">
        <is>
          <t>교차검증</t>
        </is>
      </c>
      <c r="B6" s="20" t="inlineStr">
        <is>
          <t>측정 void% = 진짜 void 인가(SEM단면·타 장비)</t>
        </is>
      </c>
      <c r="C6" s="19" t="inlineStr">
        <is>
          <t>24µm void</t>
        </is>
      </c>
      <c r="D6" s="19" t="inlineStr">
        <is>
          <t>예</t>
        </is>
      </c>
      <c r="E6" s="19" t="inlineStr">
        <is>
          <t>별도</t>
        </is>
      </c>
      <c r="F6" s="19" t="inlineStr">
        <is>
          <t>3</t>
        </is>
      </c>
      <c r="G6" s="20" t="inlineStr">
        <is>
          <t>void% 측정 신뢰도 확정</t>
        </is>
      </c>
    </row>
    <row r="7">
      <c r="A7" s="23" t="inlineStr">
        <is>
          <t>합계</t>
        </is>
      </c>
      <c r="B7" s="24" t="n"/>
      <c r="C7" s="24" t="n"/>
      <c r="D7" s="24" t="n"/>
      <c r="E7" s="25" t="inlineStr">
        <is>
          <t>~19런+교차</t>
        </is>
      </c>
      <c r="F7" s="24" t="n"/>
      <c r="G7" s="24" t="n"/>
    </row>
    <row r="9" ht="28" customHeight="1">
      <c r="A9" s="3" t="inlineStr">
        <is>
          <t>지금 즉시(void 불필요)</t>
        </is>
      </c>
      <c r="B9" s="2" t="inlineStr">
        <is>
          <t>③ 보조 7런 — R하한·F 확정. Void DOE 준비.</t>
        </is>
      </c>
    </row>
    <row r="10" ht="28" customHeight="1">
      <c r="A10" s="3" t="inlineStr">
        <is>
          <t>void 자재 확보 시</t>
        </is>
      </c>
      <c r="B10" s="2" t="inlineStr">
        <is>
          <t>① Void검출 12런 — 이게 되면 직경·진원도·void 3축 모두 확정 → 통합 계산기 완성.</t>
        </is>
      </c>
    </row>
    <row r="11" ht="28" customHeight="1">
      <c r="A11" s="3" t="inlineStr">
        <is>
          <t>최종 산출</t>
        </is>
      </c>
      <c r="B11" s="2" t="inlineStr">
        <is>
          <t>자재 직경+목표 void% 입력 → 3축 만족 레시피(kV·R·F·W) 자동. '통합최적화_로직' 시트가 그 계산식.</t>
        </is>
      </c>
    </row>
    <row r="12" ht="28" customHeight="1">
      <c r="A12" s="3" t="inlineStr">
        <is>
          <t>24µm 현재 추정 레시피</t>
        </is>
      </c>
      <c r="B12" s="2" t="inlineStr">
        <is>
          <t>kV60(±0.3) · R0.48(=8% void 겨우+진원도 양호) · F32 · W4. Void DOE가 이 R에서 진짜 void 잡히는지 검증·보정.</t>
        </is>
      </c>
    </row>
  </sheetData>
  <mergeCells count="5">
    <mergeCell ref="B10:G10"/>
    <mergeCell ref="A1:G1"/>
    <mergeCell ref="B9:G9"/>
    <mergeCell ref="B12:G12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2026-07-22T13:34:09Z</dcterms:created>
  <dcterms:modified xmlns:dcterms="http://purl.org/dc/terms/" xmlns:xsi="http://www.w3.org/2001/XMLSchema-instance" xsi:type="dcterms:W3CDTF">2026-07-22T13:34:09Z</dcterms:modified>
</cp:coreProperties>
</file>